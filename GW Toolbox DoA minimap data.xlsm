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exandre\Code\GW-toolbox-minimap-data\"/>
    </mc:Choice>
  </mc:AlternateContent>
  <xr:revisionPtr revIDLastSave="0" documentId="13_ncr:1_{4E3218E7-4679-4EB5-A6A2-7446FB97B9CA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ustom Agents" sheetId="1" r:id="rId1"/>
    <sheet name="Custom Markers" sheetId="7" r:id="rId2"/>
    <sheet name="_validations" sheetId="4" state="hidden" r:id="rId3"/>
  </sheets>
  <functionGroups builtInGroupCount="19"/>
  <definedNames>
    <definedName name="_xlnm._FilterDatabase" localSheetId="0" hidden="1">'Custom Agents'!$A$6:$G$6</definedName>
    <definedName name="_xlnm._FilterDatabase" localSheetId="1" hidden="1">'Custom Markers'!$A$6:$D$6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7" l="1"/>
  <c r="B45" i="7"/>
  <c r="B46" i="7"/>
  <c r="B47" i="7"/>
  <c r="B41" i="7"/>
  <c r="B42" i="7"/>
  <c r="B43" i="7"/>
  <c r="B33" i="7"/>
  <c r="B30" i="7"/>
  <c r="B31" i="7"/>
  <c r="B38" i="7"/>
  <c r="B39" i="7"/>
  <c r="B40" i="7"/>
  <c r="B37" i="7"/>
  <c r="B32" i="7"/>
  <c r="B26" i="7"/>
  <c r="B27" i="7"/>
  <c r="B28" i="7"/>
  <c r="B29" i="7"/>
  <c r="B34" i="7"/>
  <c r="B35" i="7"/>
  <c r="B36" i="7"/>
  <c r="B19" i="7"/>
  <c r="B14" i="7"/>
  <c r="B11" i="7"/>
  <c r="B17" i="7"/>
  <c r="B12" i="7"/>
  <c r="B18" i="7"/>
  <c r="B13" i="7"/>
  <c r="B10" i="7"/>
  <c r="B16" i="7"/>
  <c r="B7" i="7"/>
  <c r="B24" i="7"/>
  <c r="B25" i="7"/>
  <c r="B20" i="7"/>
  <c r="B21" i="7"/>
  <c r="B23" i="7"/>
  <c r="B22" i="7"/>
  <c r="B15" i="7"/>
  <c r="B8" i="7"/>
  <c r="B9" i="7"/>
  <c r="B48" i="7"/>
  <c r="B2" i="7"/>
  <c r="B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Palo</author>
  </authors>
  <commentList>
    <comment ref="H6" authorId="0" shapeId="0" xr:uid="{6EC6B14C-8BB7-466B-AA27-46CA3E31C6E6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red</t>
        </r>
      </text>
    </comment>
    <comment ref="I6" authorId="0" shapeId="0" xr:uid="{9ECC9686-3936-426C-B66F-8665B4A6B495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red</t>
        </r>
      </text>
    </comment>
    <comment ref="J6" authorId="0" shapeId="0" xr:uid="{A60009D4-D231-4FE2-BF49-A2EA26B9BCED}">
      <text>
        <r>
          <rPr>
            <b/>
            <sz val="9"/>
            <color indexed="81"/>
            <rFont val="Tahoma"/>
            <charset val="1"/>
          </rPr>
          <t>Alexandre Palo:</t>
        </r>
        <r>
          <rPr>
            <sz val="9"/>
            <color indexed="81"/>
            <rFont val="Tahoma"/>
            <charset val="1"/>
          </rPr>
          <t xml:space="preserve">
Default: tear</t>
        </r>
      </text>
    </comment>
    <comment ref="K6" authorId="0" shapeId="0" xr:uid="{E609D181-FB30-4B91-A822-B02028F816DC}">
      <text>
        <r>
          <rPr>
            <b/>
            <sz val="9"/>
            <color indexed="81"/>
            <rFont val="Tahoma"/>
            <family val="2"/>
          </rPr>
          <t>Alexandre Palo:</t>
        </r>
        <r>
          <rPr>
            <sz val="9"/>
            <color indexed="81"/>
            <rFont val="Tahoma"/>
            <family val="2"/>
          </rPr>
          <t xml:space="preserve">
Default: 1.0
Overridden by boss toolbox setting.</t>
        </r>
      </text>
    </comment>
  </commentList>
</comments>
</file>

<file path=xl/sharedStrings.xml><?xml version="1.0" encoding="utf-8"?>
<sst xmlns="http://schemas.openxmlformats.org/spreadsheetml/2006/main" count="612" uniqueCount="193">
  <si>
    <t>Profession</t>
  </si>
  <si>
    <t>Name</t>
  </si>
  <si>
    <t>Area</t>
  </si>
  <si>
    <t>Status</t>
  </si>
  <si>
    <t>Remark</t>
  </si>
  <si>
    <t>Foundry</t>
  </si>
  <si>
    <t>Smothering Tendril</t>
  </si>
  <si>
    <t>Fury</t>
  </si>
  <si>
    <t>Lord Jadoth</t>
  </si>
  <si>
    <t>City</t>
  </si>
  <si>
    <t>Veil</t>
  </si>
  <si>
    <t>Parangon</t>
  </si>
  <si>
    <t>Necromancer</t>
  </si>
  <si>
    <t>Mesmer</t>
  </si>
  <si>
    <t>Elementalist</t>
  </si>
  <si>
    <t>Monk</t>
  </si>
  <si>
    <t>Dervish</t>
  </si>
  <si>
    <t>Ranger</t>
  </si>
  <si>
    <t>Anur Kaya</t>
  </si>
  <si>
    <t>Anur Dabi</t>
  </si>
  <si>
    <t>Anur Su</t>
  </si>
  <si>
    <t>Anur Ki</t>
  </si>
  <si>
    <t>Anur Tuk</t>
  </si>
  <si>
    <t>Anur Ruk</t>
  </si>
  <si>
    <t>Anur Rund</t>
  </si>
  <si>
    <t>Anur Mank</t>
  </si>
  <si>
    <t>Anur Vu</t>
  </si>
  <si>
    <t>Warrior</t>
  </si>
  <si>
    <t>Foundry &amp; City</t>
  </si>
  <si>
    <t>Brute</t>
  </si>
  <si>
    <t>Golem</t>
  </si>
  <si>
    <t>Horror</t>
  </si>
  <si>
    <t>Fiend</t>
  </si>
  <si>
    <t>Hunger</t>
  </si>
  <si>
    <t>Mind</t>
  </si>
  <si>
    <t>Soul</t>
  </si>
  <si>
    <t>Water</t>
  </si>
  <si>
    <t>Heart</t>
  </si>
  <si>
    <t>Flesh</t>
  </si>
  <si>
    <t>Spirit</t>
  </si>
  <si>
    <t>Earth</t>
  </si>
  <si>
    <t>Sanity</t>
  </si>
  <si>
    <t>Creature</t>
  </si>
  <si>
    <t>Gloom</t>
  </si>
  <si>
    <t>Misery</t>
  </si>
  <si>
    <t>Rage</t>
  </si>
  <si>
    <t>Dementia</t>
  </si>
  <si>
    <t>Anguish</t>
  </si>
  <si>
    <t>Despair</t>
  </si>
  <si>
    <t>Greater Dream Rider</t>
  </si>
  <si>
    <t>Guardian of Komalie</t>
  </si>
  <si>
    <t>Tortureweb Dryder</t>
  </si>
  <si>
    <t>Underworld army</t>
  </si>
  <si>
    <t>The Fury</t>
  </si>
  <si>
    <t>The Black Beast of Arrgh</t>
  </si>
  <si>
    <t>Assassin</t>
  </si>
  <si>
    <t>X</t>
  </si>
  <si>
    <t>Foundry, City, Veil &amp; Gloom</t>
  </si>
  <si>
    <t>Adept of Whispers</t>
  </si>
  <si>
    <t>Order of Whispers</t>
  </si>
  <si>
    <t>Ally</t>
  </si>
  <si>
    <t>Foe</t>
  </si>
  <si>
    <t>Shadow army</t>
  </si>
  <si>
    <t>Abyssal</t>
  </si>
  <si>
    <t>Claw of Darkness</t>
  </si>
  <si>
    <t>Wind of Darkness</t>
  </si>
  <si>
    <t>Scourge of Darkness</t>
  </si>
  <si>
    <t>Curse of Darkness</t>
  </si>
  <si>
    <t>Thought of Darkness</t>
  </si>
  <si>
    <t>Chill of Darkness</t>
  </si>
  <si>
    <t>Torment Claw</t>
  </si>
  <si>
    <t>Quest related tendril</t>
  </si>
  <si>
    <t>Quickening Zephyr</t>
  </si>
  <si>
    <t>Edge of Extinction</t>
  </si>
  <si>
    <t>Stygian Lord</t>
  </si>
  <si>
    <t>Included</t>
  </si>
  <si>
    <t>First id</t>
  </si>
  <si>
    <t>Whispers Informant, Voice of Whispers</t>
  </si>
  <si>
    <t>Foundry and City quest givers</t>
  </si>
  <si>
    <t>Foundry, City</t>
  </si>
  <si>
    <t>Spirit of Winnowing</t>
  </si>
  <si>
    <t>Veil &amp; Gloom</t>
  </si>
  <si>
    <t>Entrances lightbringer bounty giver and Gloom quest giver</t>
  </si>
  <si>
    <t>Veil quests giver</t>
  </si>
  <si>
    <t>Including Fury's Kis</t>
  </si>
  <si>
    <t>Captain Jerazh, Captain Sulahresh, Tekliss</t>
  </si>
  <si>
    <t>Captain Valkyss, General Yendzarsh, Silzesh</t>
  </si>
  <si>
    <t>Margonites</t>
  </si>
  <si>
    <t>Ghosts</t>
  </si>
  <si>
    <t>Forgottens</t>
  </si>
  <si>
    <t>Ritual spirits</t>
  </si>
  <si>
    <t>Stygians</t>
  </si>
  <si>
    <t>Titans</t>
  </si>
  <si>
    <t>Tormentors</t>
  </si>
  <si>
    <t>Ids step</t>
  </si>
  <si>
    <t>Color</t>
  </si>
  <si>
    <t>Text color</t>
  </si>
  <si>
    <t>Shape</t>
  </si>
  <si>
    <t>Size</t>
  </si>
  <si>
    <t>Big circle</t>
  </si>
  <si>
    <t>Circle</t>
  </si>
  <si>
    <t>Tear</t>
  </si>
  <si>
    <t>Square</t>
  </si>
  <si>
    <t>Model ID</t>
  </si>
  <si>
    <t>Ritualist</t>
  </si>
  <si>
    <t>Type</t>
  </si>
  <si>
    <t>Description</t>
  </si>
  <si>
    <t>Room 1 trigger</t>
  </si>
  <si>
    <t>Room 2 trigger</t>
  </si>
  <si>
    <t>Room 3 trigger</t>
  </si>
  <si>
    <t>Room 4 trigger</t>
  </si>
  <si>
    <t>Black Beast group trigger</t>
  </si>
  <si>
    <t>Chest</t>
  </si>
  <si>
    <t>Chest aggro range</t>
  </si>
  <si>
    <t>x = -14436.000000
y = -523.000000
size = 75.000000
shape = 0</t>
  </si>
  <si>
    <t>x = -14436.000000
y = -523.000000
size = 1300.000000
shape = 0</t>
  </si>
  <si>
    <t>x = 3435.000000
y = 15590.000000
size = 75.000000
shape = 0</t>
  </si>
  <si>
    <t>x = 10943.000000
y = -10151.000000
size = 75.000000
shape = 0</t>
  </si>
  <si>
    <t>x = 227.000000
y = -10264.000000
size = 75.000000
shape = 0</t>
  </si>
  <si>
    <t>Rift left claw</t>
  </si>
  <si>
    <t>Rift right claw</t>
  </si>
  <si>
    <t>Rift cap area</t>
  </si>
  <si>
    <t>x = 7704.000000
y = 17844.000000
size = 500.000000
shape = 0</t>
  </si>
  <si>
    <t>x = 9498.000000
y = 18311.000000
size = 350.000000
shape = 0</t>
  </si>
  <si>
    <t>x = 8097.000000
y = 17567.000000
size = 75.000000
shape = 0</t>
  </si>
  <si>
    <t>x = 8394.000000
y = 17811.000000
size = 75.000000
shape = 0</t>
  </si>
  <si>
    <t>x = 8575.000000
y = -9447.000000
size = 100.000000
shape = 0</t>
  </si>
  <si>
    <t>x = 7904.000000
y = -10086.000000
size = 100.000000
shape = 0</t>
  </si>
  <si>
    <t>x = 8217.000000
y = -11223.000000
size = 100.000000
shape = 0</t>
  </si>
  <si>
    <t>x = 9933.000000
y = -9339.000000
size = 100.000000
shape = 0</t>
  </si>
  <si>
    <t>x = 9225.000000
y = -11579.000000
size = 100.000000
shape = 0</t>
  </si>
  <si>
    <t>Deathbringer trigger</t>
  </si>
  <si>
    <t>x = 171.000000
y = 16173.000000
size = 2245.000000
shape = 0</t>
  </si>
  <si>
    <t>Rift water group pop</t>
  </si>
  <si>
    <t>Cave quest trigger</t>
  </si>
  <si>
    <t>Entrance group trigger</t>
  </si>
  <si>
    <t>Gloom trench pops trigger</t>
  </si>
  <si>
    <t>Monk Lord trench pops trigger front</t>
  </si>
  <si>
    <t>Elementalist Lord trench pops trigger front</t>
  </si>
  <si>
    <t>Monk Lord trench pops trigger back</t>
  </si>
  <si>
    <t>Elementalist Lord trench pops trigger back</t>
  </si>
  <si>
    <t>Mesmer Lord trench pops trigger back</t>
  </si>
  <si>
    <t>Necromancer Lord trench pops trigger back</t>
  </si>
  <si>
    <t>Necromancer Lord trench pops trigger front</t>
  </si>
  <si>
    <t>Mesmer Lord trench pops trigger front</t>
  </si>
  <si>
    <t>NPC path from entrance to Deathbringer</t>
  </si>
  <si>
    <t>Optimize run path form entrance to chest</t>
  </si>
  <si>
    <t>Optimize run path from chest to Foundry</t>
  </si>
  <si>
    <t>x = 8647.040039
y = 5434.910156
size = 500.000000
shape = 0</t>
  </si>
  <si>
    <t>x = 7814.899902
y = 5960.759766
size = 500.000000
shape = 0</t>
  </si>
  <si>
    <t>x = 6940.839844
y = 6518.560059
size = 500.000000
shape = 0</t>
  </si>
  <si>
    <t>x = 5761.580078
y = 7179.970215
size = 500.000000
shape = 0</t>
  </si>
  <si>
    <t>Cave pop area 1</t>
  </si>
  <si>
    <t>Cave pop area 2</t>
  </si>
  <si>
    <t>Cave pop area 3</t>
  </si>
  <si>
    <t>Cave pop area 4</t>
  </si>
  <si>
    <t>Smothering Tendril quest side light</t>
  </si>
  <si>
    <t>TK 6-0 / TK 3-3 #2</t>
  </si>
  <si>
    <t>IAU 6-0 / TK 3-3 #1</t>
  </si>
  <si>
    <t>Smothering Tendril back right</t>
  </si>
  <si>
    <t>Smothering Tendril back left</t>
  </si>
  <si>
    <t>Smothering Tendril front right</t>
  </si>
  <si>
    <t>MLK 6-0 / Empathy 3-3 #2</t>
  </si>
  <si>
    <t>VoR 6-0 / Empathy 3-3 #1</t>
  </si>
  <si>
    <t>Smothering Tendril front left</t>
  </si>
  <si>
    <t>Smothering Tendril quest side left</t>
  </si>
  <si>
    <t>Monk Lord Hunger pop trigger</t>
  </si>
  <si>
    <t>x = 21072.000000
y = -9336.000000
size = 1250.000000
shape = 0</t>
  </si>
  <si>
    <t>Clover patrol trigger left side</t>
  </si>
  <si>
    <t>Clover patrol trigger right side</t>
  </si>
  <si>
    <t>x1 = 13340.339844
y1 = 4598.740234
x2 = 3487.000000
y2 = 15536.000000</t>
  </si>
  <si>
    <t>x1 = -9929.000000
y1 = 15305.719727
x2 = 3443.000000
y2 = 15515.000000</t>
  </si>
  <si>
    <t>point[0].x = -14285.000000
point[0].y = 10947.000000
point[1].x = -14077.000000
point[1].y = 11259.000000
point[2].x = -13937.000000
point[2].y = 11562.000000</t>
  </si>
  <si>
    <t>point[0].x = -14015.000000
point[0].y = 14916.000000
point[1].x = -14228.000000
point[1].y = 14412.000000
point[2].x = -14507.000000
point[2].y = 13940.000000</t>
  </si>
  <si>
    <t>point[0].x = -18724.000000
point[0].y = 13017.000000
point[1].x = -19020.000000
point[1].y = 13188.000000</t>
  </si>
  <si>
    <t>point[0].x = -16737.000000
point[0].y = -3238.000000
point[1].x = -16363.000000
point[1].y = -2538.000000
point[2].x = -16821.000000
point[2].y = -1152.000000
point[3].x = -17376.000000
point[3].y = -889.000000</t>
  </si>
  <si>
    <t>point[0].x = 15254.679688
point[0].y = 4751.790039
point[1].x = 15464.000000
point[1].y = 4715.000000
point[2].x = 15686.000000
point[2].y = 4771.000000
point[3].x = 15906.000000
point[3].y = 4997.000000
point[4].x = 15945.000000
point[4].y = 5357.000000</t>
  </si>
  <si>
    <t>point[0].x = 4834.000000
point[0].y = 362.000000
point[1].x = 5130.000000
point[1].y = 244.000000
point[2].x = 5376.000000
point[2].y = 20.000000</t>
  </si>
  <si>
    <t>point[0].x = 16150.000000
point[0].y = 2022.000000
point[1].x = 15568.000000
point[1].y = 2102.000000
point[2].x = 15277.000000
point[2].y = 2597.000000
point[3].x = 15661.000000
point[3].y = 4416.000000
point[4].x = 14592.000000
point[4].y = 5884.000000
point[5].x = 13081.000000
point[5].y = 6575.000000
point[6].x = 6757.000000
point[6].y = 9585.000000
point[7].x = 2603.000000
point[7].y = 12059.000000</t>
  </si>
  <si>
    <t>point[0].x = 7169.000000
point[0].y = -13884.000000
point[1].x = 7400.000000
point[1].y = -13969.000000
point[2].x = 7597.000000
point[2].y = -14154.000000</t>
  </si>
  <si>
    <t>point[0].x = 10930.000000
point[0].y = -15130.000000
point[1].x = 11136.000000
point[1].y = -15122.000000
point[2].x = 11382.000000
point[2].y = -15192.000000</t>
  </si>
  <si>
    <t>point[0].x = 14602.000000
point[0].y = -12233.000000
point[1].x = 14338.000000
point[1].y = -12445.000000
point[2].x = 14235.000000
point[2].y = -12732.000000</t>
  </si>
  <si>
    <t>point[0].x = 14969.000000
point[0].y = -8439.000000
point[1].x = 14849.000000
point[1].y = -8777.000000
point[2].x = 14928.000000
point[2].y = -9120.000000</t>
  </si>
  <si>
    <t>point[0].x = 10560.000000
point[0].y = -5631.000000
point[1].x = 10845.000000
point[1].y = -5843.000000
point[2].x = 11136.000000
point[2].y = -5848.000000</t>
  </si>
  <si>
    <t>point[0].x = 6553.000000
point[0].y = -14845.000000
point[1].x = 7018.000000
point[1].y = -15146.000000</t>
  </si>
  <si>
    <t>point[0].x = 15156.000000
point[0].y = -13295.000000
point[1].x = 15393.000000
point[1].y = -12960.000000</t>
  </si>
  <si>
    <t>point[0].x = 10848.000000
point[0].y = -16075.000000
point[1].x = 11277.000000
point[1].y = -16082.000000</t>
  </si>
  <si>
    <t>point[0].x = 8767.000000
point[0].y = -13025.000000
point[1].x = 9497.000000
point[1].y = -13096.000000
point[2].x = 9874.000000
point[2].y = -12939.000000</t>
  </si>
  <si>
    <t>point[0].x = 11984.000000
point[0].y = -11913.000000
point[1].x = 10283.000000
point[1].y = -12663.000000</t>
  </si>
  <si>
    <t>point[0].x = -10999.000000
point[0].y = 14049.000000
point[1].x = -10789.000000
point[1].y = 13972.000000
point[2].x = -10593.000000
point[2].y = 13888.000000</t>
  </si>
  <si>
    <t>x = 10476.000000
y = -10867.000000
size = 100\.000000
shape = 0</t>
  </si>
  <si>
    <t>point[0].x = 15971.000000
point[0].y = -9128.000000
point[1].x = 16031.000000
point[1].y = -8640.000000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</si>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</sst>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ADAD81"/>
        <bgColor indexed="64"/>
      </patternFill>
    </fill>
    <fill>
      <patternFill patternType="solid">
        <fgColor rgb="FF7886B4"/>
        <bgColor indexed="64"/>
      </patternFill>
    </fill>
    <fill>
      <patternFill patternType="solid">
        <fgColor rgb="FF44D9F8"/>
        <bgColor indexed="64"/>
      </patternFill>
    </fill>
    <fill>
      <patternFill patternType="solid">
        <fgColor rgb="FF2DF760"/>
        <bgColor indexed="64"/>
      </patternFill>
    </fill>
    <fill>
      <patternFill patternType="solid">
        <fgColor rgb="FFFB9325"/>
        <bgColor indexed="64"/>
      </patternFill>
    </fill>
    <fill>
      <patternFill patternType="solid">
        <fgColor rgb="FFFB31A5"/>
        <bgColor indexed="64"/>
      </patternFill>
    </fill>
    <fill>
      <patternFill patternType="solid">
        <fgColor rgb="FF924FF2"/>
        <bgColor indexed="64"/>
      </patternFill>
    </fill>
    <fill>
      <patternFill patternType="solid">
        <fgColor rgb="FFFD3131"/>
        <bgColor indexed="64"/>
      </patternFill>
    </fill>
    <fill>
      <patternFill patternType="solid">
        <fgColor rgb="FFE5F347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0" fontId="1" fillId="0" borderId="0" xfId="0" applyFont="1" applyAlignment="1">
      <alignment horizontal="right"/>
    </xf>
    <xf numFmtId="0" fontId="1" fillId="0" borderId="2" xfId="0" applyFont="1" applyBorder="1" applyAlignment="1">
      <alignment horizontal="right"/>
    </xf>
    <xf numFmtId="0" fontId="0" fillId="0" borderId="3" xfId="0" applyBorder="1" applyAlignment="1">
      <alignment horizontal="left" indent="1"/>
    </xf>
    <xf numFmtId="0" fontId="1" fillId="0" borderId="4" xfId="0" applyFont="1" applyBorder="1" applyAlignment="1">
      <alignment horizontal="right"/>
    </xf>
    <xf numFmtId="0" fontId="0" fillId="0" borderId="5" xfId="0" applyBorder="1" applyAlignment="1">
      <alignment horizontal="left" indent="1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indent="8"/>
    </xf>
    <xf numFmtId="0" fontId="0" fillId="11" borderId="6" xfId="0" applyFill="1" applyBorder="1"/>
    <xf numFmtId="0" fontId="0" fillId="8" borderId="6" xfId="0" applyFill="1" applyBorder="1"/>
    <xf numFmtId="0" fontId="0" fillId="3" borderId="6" xfId="0" applyFill="1" applyBorder="1"/>
    <xf numFmtId="0" fontId="0" fillId="9" borderId="6" xfId="0" applyFill="1" applyBorder="1"/>
    <xf numFmtId="0" fontId="0" fillId="7" borderId="6" xfId="0" applyFill="1" applyBorder="1"/>
    <xf numFmtId="0" fontId="0" fillId="4" borderId="6" xfId="0" applyFill="1" applyBorder="1"/>
    <xf numFmtId="0" fontId="0" fillId="5" borderId="6" xfId="0" applyFill="1" applyBorder="1"/>
    <xf numFmtId="0" fontId="0" fillId="10" borderId="6" xfId="0" applyFill="1" applyBorder="1"/>
    <xf numFmtId="0" fontId="0" fillId="2" borderId="6" xfId="0" applyFill="1" applyBorder="1"/>
    <xf numFmtId="0" fontId="0" fillId="6" borderId="6" xfId="0" applyFill="1" applyBorder="1"/>
    <xf numFmtId="0" fontId="0" fillId="0" borderId="6" xfId="0" applyBorder="1"/>
    <xf numFmtId="0" fontId="7" fillId="0" borderId="0" xfId="0" applyFont="1" applyAlignment="1">
      <alignment wrapText="1"/>
    </xf>
    <xf numFmtId="0" fontId="8" fillId="0" borderId="1" xfId="0" applyFont="1" applyBorder="1"/>
  </cellXfs>
  <cellStyles count="1">
    <cellStyle name="Normal" xfId="0" builtinId="0"/>
  </cellStyles>
  <dxfs count="16"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/>
        </patternFill>
      </fill>
      <border outline="0">
        <left style="hair">
          <color theme="0" tint="-0.499984740745262"/>
        </left>
        <right/>
      </border>
    </dxf>
    <dxf>
      <fill>
        <patternFill patternType="solid">
          <fgColor indexed="64"/>
          <bgColor theme="0"/>
        </patternFill>
      </fill>
      <border diagonalUp="0" diagonalDown="0" outline="0">
        <left/>
        <right/>
        <top style="hair">
          <color theme="0" tint="-0.499984740745262"/>
        </top>
        <bottom style="hair">
          <color theme="0" tint="-0.499984740745262"/>
        </bottom>
      </border>
    </dxf>
    <dxf>
      <fill>
        <patternFill patternType="none">
          <fgColor indexed="64"/>
          <bgColor auto="1"/>
        </patternFill>
      </fill>
      <border outline="0">
        <right style="hair">
          <color theme="0" tint="-0.499984740745262"/>
        </right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numFmt numFmtId="0" formatCode="General"/>
    </dxf>
    <dxf>
      <border diagonalUp="0" diagonalDown="0">
        <left style="hair">
          <color theme="0" tint="-0.499984740745262"/>
        </left>
        <right style="hair">
          <color theme="0" tint="-0.499984740745262"/>
        </right>
        <top style="hair">
          <color theme="0" tint="-0.499984740745262"/>
        </top>
        <bottom style="hair">
          <color theme="0" tint="-0.499984740745262"/>
        </bottom>
        <vertical/>
        <horizontal style="hair">
          <color theme="0" tint="-0.499984740745262"/>
        </horizontal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</dxfs>
  <tableStyles count="0" defaultTableStyle="TableStyleMedium2" defaultPivotStyle="PivotStyleLight16"/>
  <colors>
    <mruColors>
      <color rgb="FFADAD81"/>
      <color rgb="FF7886B4"/>
      <color rgb="FFE5F347"/>
      <color rgb="FFFB9325"/>
      <color rgb="FF2DF760"/>
      <color rgb="FF44D9F8"/>
      <color rgb="FFFB31A5"/>
      <color rgb="FF924FF2"/>
      <color rgb="FFFD3131"/>
      <color rgb="FFF9731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182217</xdr:colOff>
      <xdr:row>2</xdr:row>
      <xdr:rowOff>24847</xdr:rowOff>
    </xdr:from>
    <xdr:to>
      <xdr:col>2</xdr:col>
      <xdr:colOff>1341782</xdr:colOff>
      <xdr:row>3</xdr:row>
      <xdr:rowOff>149086</xdr:rowOff>
    </xdr:to>
    <xdr:sp macro="[0]!ExportAgents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F2B86DA-21CA-1DEE-98B0-83F49EDA88C0}"/>
            </a:ext>
          </a:extLst>
        </xdr:cNvPr>
        <xdr:cNvSpPr/>
      </xdr:nvSpPr>
      <xdr:spPr>
        <a:xfrm>
          <a:off x="1689652" y="364434"/>
          <a:ext cx="1159565" cy="289891"/>
        </a:xfrm>
        <a:prstGeom prst="round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FF0101"/>
              </a:solidFill>
            </a:rPr>
            <a:t>Generate</a:t>
          </a:r>
        </a:p>
      </xdr:txBody>
    </xdr:sp>
    <xdr:clientData/>
  </xdr:twoCellAnchor>
  <xdr:twoCellAnchor>
    <xdr:from>
      <xdr:col>3</xdr:col>
      <xdr:colOff>16566</xdr:colOff>
      <xdr:row>1</xdr:row>
      <xdr:rowOff>8282</xdr:rowOff>
    </xdr:from>
    <xdr:to>
      <xdr:col>5</xdr:col>
      <xdr:colOff>1383197</xdr:colOff>
      <xdr:row>2</xdr:row>
      <xdr:rowOff>99390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75322F4-34AB-466D-BB62-2F5A8A4F6032}"/>
            </a:ext>
          </a:extLst>
        </xdr:cNvPr>
        <xdr:cNvSpPr txBox="1"/>
      </xdr:nvSpPr>
      <xdr:spPr>
        <a:xfrm>
          <a:off x="3296479" y="173934"/>
          <a:ext cx="3445566" cy="331304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Custom Agents colors, shape and size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182217</xdr:colOff>
      <xdr:row>2</xdr:row>
      <xdr:rowOff>24847</xdr:rowOff>
    </xdr:from>
    <xdr:to>
      <xdr:col>2</xdr:col>
      <xdr:colOff>1341782</xdr:colOff>
      <xdr:row>3</xdr:row>
      <xdr:rowOff>149086</xdr:rowOff>
    </xdr:to>
    <xdr:sp macro="[0]!ExportMarkers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7C877D5-7B76-41A2-86DB-22532590135F}"/>
            </a:ext>
          </a:extLst>
        </xdr:cNvPr>
        <xdr:cNvSpPr/>
      </xdr:nvSpPr>
      <xdr:spPr>
        <a:xfrm>
          <a:off x="1816121" y="427828"/>
          <a:ext cx="1159565" cy="285431"/>
        </a:xfrm>
        <a:prstGeom prst="round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rgbClr val="FF0101"/>
              </a:solidFill>
            </a:rPr>
            <a:t>Generate</a:t>
          </a:r>
        </a:p>
      </xdr:txBody>
    </xdr:sp>
    <xdr:clientData/>
  </xdr:twoCellAnchor>
  <xdr:twoCellAnchor>
    <xdr:from>
      <xdr:col>3</xdr:col>
      <xdr:colOff>8282</xdr:colOff>
      <xdr:row>1</xdr:row>
      <xdr:rowOff>16566</xdr:rowOff>
    </xdr:from>
    <xdr:to>
      <xdr:col>3</xdr:col>
      <xdr:colOff>3205370</xdr:colOff>
      <xdr:row>2</xdr:row>
      <xdr:rowOff>107674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8FE21BF-5ED5-50F9-31C2-D145B08378BC}"/>
            </a:ext>
          </a:extLst>
        </xdr:cNvPr>
        <xdr:cNvSpPr txBox="1"/>
      </xdr:nvSpPr>
      <xdr:spPr>
        <a:xfrm>
          <a:off x="3453847" y="182218"/>
          <a:ext cx="3197088" cy="331304"/>
        </a:xfrm>
        <a:prstGeom prst="rect">
          <a:avLst/>
        </a:prstGeom>
        <a:solidFill>
          <a:schemeClr val="lt1"/>
        </a:solidFill>
        <a:ln w="12700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Arial" panose="020B0604020202020204" pitchFamily="34" charset="0"/>
              <a:cs typeface="Arial" panose="020B0604020202020204" pitchFamily="34" charset="0"/>
            </a:rPr>
            <a:t>Custom lines, circles and polygons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10E3EC-6C3D-4932-8F07-75ACA0EDAFEA}" name="AgentsTable" displayName="AgentsTable" ref="A6:L75" totalsRowShown="0" headerRowDxfId="15" headerRowBorderDxfId="14">
  <autoFilter ref="A6:L75" xr:uid="{EA10E3EC-6C3D-4932-8F07-75ACA0EDAFEA}"/>
  <sortState xmlns:xlrd2="http://schemas.microsoft.com/office/spreadsheetml/2017/richdata2" ref="A7:L75">
    <sortCondition ref="D6:D75"/>
  </sortState>
  <tableColumns count="12">
    <tableColumn id="1" xr3:uid="{55DEC88E-F5CB-4247-A52B-61A78096082E}" name="Included" dataDxfId="13"/>
    <tableColumn id="2" xr3:uid="{346AE548-5965-4BAC-A1F4-F94AD6362A2E}" name="Status" dataDxfId="12"/>
    <tableColumn id="3" xr3:uid="{BD5DD932-4A89-418E-B436-11D30F0447D1}" name="Area"/>
    <tableColumn id="4" xr3:uid="{AA70F868-C264-4720-96CB-4A4915093179}" name="Creature"/>
    <tableColumn id="5" xr3:uid="{E4E0D301-4C2E-4EA6-82D2-5BE08A70E5E4}" name="Profession" dataDxfId="11"/>
    <tableColumn id="6" xr3:uid="{A3D12EC5-C28B-42AA-AD18-945058614C92}" name="Name"/>
    <tableColumn id="8" xr3:uid="{4BCE0A1A-8B32-4788-AD85-741BF28A6F71}" name="Model ID" dataDxfId="10"/>
    <tableColumn id="9" xr3:uid="{8FA03817-59DB-4690-AE87-72138F1141E4}" name="Color" dataDxfId="9"/>
    <tableColumn id="10" xr3:uid="{DE7D24BE-5902-4DB6-B6AB-F3E5046947CB}" name="Text color" dataDxfId="8"/>
    <tableColumn id="11" xr3:uid="{AB6C29F6-ACBE-4645-9716-C5325D99AC5B}" name="Shape"/>
    <tableColumn id="12" xr3:uid="{31E8CC71-3FD9-4C00-8B03-5DE073C43C25}" name="Size"/>
    <tableColumn id="13" xr3:uid="{122F02F3-E34F-4041-9C3C-E97854DA19C5}" name="Remark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39977C-ABC1-4BDD-A906-E7546307AC7A}" name="MarkersTable" displayName="MarkersTable" ref="A6:G48" totalsRowShown="0" headerRowDxfId="7" headerRowBorderDxfId="6">
  <autoFilter ref="A6:G48" xr:uid="{EA10E3EC-6C3D-4932-8F07-75ACA0EDAFEA}"/>
  <sortState xmlns:xlrd2="http://schemas.microsoft.com/office/spreadsheetml/2017/richdata2" ref="A7:G48">
    <sortCondition descending="1" ref="C6:C48"/>
  </sortState>
  <tableColumns count="7">
    <tableColumn id="1" xr3:uid="{DD57D2DD-5B1A-4F6C-884A-38BCD9760C87}" name="Included" dataDxfId="5"/>
    <tableColumn id="2" xr3:uid="{6F0B0C7F-F8B8-420B-9407-52FBE2864DBD}" name="Type" dataDxfId="4">
      <calculatedColumnFormula>IF(NOT(ISERR(FIND("x1 = ", MarkersTable[[#This Row],[Data]]))), "Line", IF(NOT(ISERR(FIND("point[0].x = ", MarkersTable[[#This Row],[Data]]))), "Polygon", IF(NOT(ISERR(FIND("x = ", MarkersTable[[#This Row],[Data]]))), "Marker (circle)", "Error")))</calculatedColumnFormula>
    </tableColumn>
    <tableColumn id="3" xr3:uid="{DEF4DC99-04E7-4822-97D8-78484840D7AB}" name="Area"/>
    <tableColumn id="6" xr3:uid="{0DFF922B-75F4-43DE-A567-37228409510E}" name="Description" dataDxfId="3"/>
    <tableColumn id="5" xr3:uid="{978FC66E-D981-469B-8DAA-F3701BE0FD8D}" name="Color" dataDxfId="2"/>
    <tableColumn id="9" xr3:uid="{9F7F938C-5E23-44AC-8383-C05E92DB25AA}" name="Remark" dataDxfId="1"/>
    <tableColumn id="4" xr3:uid="{1817FD57-D369-41AB-82FA-EDEBFCB055A6}" name="Data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L75"/>
  <sheetViews>
    <sheetView tabSelected="1" zoomScale="115" zoomScaleNormal="115" workbookViewId="0">
      <pane ySplit="6" topLeftCell="A7" activePane="bottomLeft" state="frozen"/>
      <selection pane="bottomLeft" activeCell="A7" sqref="A7"/>
    </sheetView>
  </sheetViews>
  <sheetFormatPr defaultColWidth="9.140625" defaultRowHeight="12.75" x14ac:dyDescent="0.2"/>
  <cols>
    <col min="1" max="1" width="13.42578125" style="1" bestFit="1" customWidth="1"/>
    <col min="2" max="2" width="11.140625" style="1" bestFit="1" customWidth="1"/>
    <col min="3" max="3" width="24.7109375" bestFit="1" customWidth="1"/>
    <col min="4" max="4" width="16.140625" bestFit="1" customWidth="1"/>
    <col min="5" max="5" width="15" style="1" bestFit="1" customWidth="1"/>
    <col min="6" max="6" width="39.85546875" bestFit="1" customWidth="1"/>
    <col min="7" max="7" width="13.5703125" style="1" bestFit="1" customWidth="1"/>
    <col min="8" max="8" width="10.42578125" bestFit="1" customWidth="1"/>
    <col min="9" max="9" width="12.42578125" bestFit="1" customWidth="1"/>
    <col min="11" max="11" width="7.28515625" bestFit="1" customWidth="1"/>
    <col min="12" max="12" width="49.7109375" bestFit="1" customWidth="1"/>
  </cols>
  <sheetData>
    <row r="2" spans="1:12" ht="18.75" thickBot="1" x14ac:dyDescent="0.3">
      <c r="A2" s="7" t="s">
        <v>75</v>
      </c>
      <c r="B2" s="5">
        <f>COUNTIF(AgentsTable[Included],"&lt;&gt;")</f>
        <v>61</v>
      </c>
      <c r="E2" s="12"/>
    </row>
    <row r="3" spans="1:12" x14ac:dyDescent="0.2">
      <c r="A3" s="8" t="s">
        <v>76</v>
      </c>
      <c r="B3" s="9">
        <v>0</v>
      </c>
      <c r="E3" s="4"/>
    </row>
    <row r="4" spans="1:12" ht="13.5" thickBot="1" x14ac:dyDescent="0.25">
      <c r="A4" s="10" t="s">
        <v>94</v>
      </c>
      <c r="B4" s="11">
        <v>1</v>
      </c>
    </row>
    <row r="6" spans="1:12" ht="13.5" thickBot="1" x14ac:dyDescent="0.25">
      <c r="A6" s="2" t="s">
        <v>75</v>
      </c>
      <c r="B6" s="2" t="s">
        <v>3</v>
      </c>
      <c r="C6" s="3" t="s">
        <v>2</v>
      </c>
      <c r="D6" s="3" t="s">
        <v>42</v>
      </c>
      <c r="E6" s="2" t="s">
        <v>0</v>
      </c>
      <c r="F6" s="3" t="s">
        <v>1</v>
      </c>
      <c r="G6" s="2" t="s">
        <v>103</v>
      </c>
      <c r="H6" s="2" t="s">
        <v>95</v>
      </c>
      <c r="I6" s="3" t="s">
        <v>96</v>
      </c>
      <c r="J6" s="3" t="s">
        <v>97</v>
      </c>
      <c r="K6" s="3" t="s">
        <v>98</v>
      </c>
      <c r="L6" s="3" t="s">
        <v>4</v>
      </c>
    </row>
    <row r="7" spans="1:12" x14ac:dyDescent="0.2">
      <c r="B7" s="1" t="s">
        <v>60</v>
      </c>
      <c r="C7" t="s">
        <v>79</v>
      </c>
      <c r="D7" t="s">
        <v>89</v>
      </c>
      <c r="F7" t="s">
        <v>85</v>
      </c>
      <c r="G7" s="1">
        <v>5002</v>
      </c>
      <c r="H7" s="24"/>
      <c r="K7" s="6"/>
      <c r="L7" t="s">
        <v>78</v>
      </c>
    </row>
    <row r="8" spans="1:12" x14ac:dyDescent="0.2">
      <c r="B8" s="1" t="s">
        <v>60</v>
      </c>
      <c r="C8" t="s">
        <v>5</v>
      </c>
      <c r="D8" t="s">
        <v>89</v>
      </c>
      <c r="F8" t="s">
        <v>86</v>
      </c>
      <c r="G8" s="1">
        <v>5221</v>
      </c>
      <c r="H8" s="24"/>
    </row>
    <row r="9" spans="1:12" x14ac:dyDescent="0.2">
      <c r="A9" s="1" t="s">
        <v>56</v>
      </c>
      <c r="B9" s="1" t="s">
        <v>61</v>
      </c>
      <c r="C9" t="s">
        <v>5</v>
      </c>
      <c r="D9" t="s">
        <v>88</v>
      </c>
      <c r="E9" s="1" t="s">
        <v>14</v>
      </c>
      <c r="F9" t="s">
        <v>53</v>
      </c>
      <c r="G9" s="1">
        <v>5149</v>
      </c>
      <c r="H9" s="17"/>
      <c r="J9" t="s">
        <v>102</v>
      </c>
    </row>
    <row r="10" spans="1:12" x14ac:dyDescent="0.2">
      <c r="A10" s="1" t="s">
        <v>56</v>
      </c>
      <c r="B10" s="1" t="s">
        <v>61</v>
      </c>
      <c r="C10" t="s">
        <v>5</v>
      </c>
      <c r="D10" t="s">
        <v>88</v>
      </c>
      <c r="E10" s="1" t="s">
        <v>13</v>
      </c>
      <c r="F10" t="s">
        <v>49</v>
      </c>
      <c r="G10" s="1">
        <v>5216</v>
      </c>
      <c r="H10" s="18"/>
    </row>
    <row r="11" spans="1:12" x14ac:dyDescent="0.2">
      <c r="A11" s="1" t="s">
        <v>56</v>
      </c>
      <c r="B11" s="1" t="s">
        <v>61</v>
      </c>
      <c r="C11" t="s">
        <v>5</v>
      </c>
      <c r="D11" t="s">
        <v>88</v>
      </c>
      <c r="E11" s="1" t="s">
        <v>13</v>
      </c>
      <c r="F11" t="s">
        <v>49</v>
      </c>
      <c r="G11" s="1">
        <v>5217</v>
      </c>
      <c r="H11" s="18"/>
    </row>
    <row r="12" spans="1:12" x14ac:dyDescent="0.2">
      <c r="A12" s="1" t="s">
        <v>56</v>
      </c>
      <c r="B12" s="1" t="s">
        <v>61</v>
      </c>
      <c r="C12" t="s">
        <v>28</v>
      </c>
      <c r="D12" t="s">
        <v>87</v>
      </c>
      <c r="E12" s="1" t="s">
        <v>16</v>
      </c>
      <c r="F12" t="s">
        <v>23</v>
      </c>
      <c r="G12" s="1">
        <v>5172</v>
      </c>
      <c r="H12" s="16"/>
    </row>
    <row r="13" spans="1:12" x14ac:dyDescent="0.2">
      <c r="A13" s="1" t="s">
        <v>56</v>
      </c>
      <c r="B13" s="1" t="s">
        <v>61</v>
      </c>
      <c r="C13" t="s">
        <v>28</v>
      </c>
      <c r="D13" t="s">
        <v>87</v>
      </c>
      <c r="E13" s="1" t="s">
        <v>14</v>
      </c>
      <c r="F13" t="s">
        <v>20</v>
      </c>
      <c r="G13" s="1">
        <v>5168</v>
      </c>
      <c r="H13" s="17"/>
    </row>
    <row r="14" spans="1:12" x14ac:dyDescent="0.2">
      <c r="A14" s="1" t="s">
        <v>56</v>
      </c>
      <c r="B14" s="1" t="s">
        <v>61</v>
      </c>
      <c r="C14" t="s">
        <v>28</v>
      </c>
      <c r="D14" t="s">
        <v>87</v>
      </c>
      <c r="E14" s="1" t="s">
        <v>13</v>
      </c>
      <c r="F14" t="s">
        <v>18</v>
      </c>
      <c r="G14" s="1">
        <v>5166</v>
      </c>
      <c r="H14" s="18"/>
    </row>
    <row r="15" spans="1:12" x14ac:dyDescent="0.2">
      <c r="A15" s="1" t="s">
        <v>56</v>
      </c>
      <c r="B15" s="1" t="s">
        <v>61</v>
      </c>
      <c r="C15" t="s">
        <v>28</v>
      </c>
      <c r="D15" t="s">
        <v>87</v>
      </c>
      <c r="E15" s="1" t="s">
        <v>15</v>
      </c>
      <c r="F15" t="s">
        <v>21</v>
      </c>
      <c r="G15" s="1">
        <v>5169</v>
      </c>
      <c r="H15" s="19"/>
      <c r="L15" t="s">
        <v>84</v>
      </c>
    </row>
    <row r="16" spans="1:12" x14ac:dyDescent="0.2">
      <c r="A16" s="1" t="s">
        <v>56</v>
      </c>
      <c r="B16" s="1" t="s">
        <v>61</v>
      </c>
      <c r="C16" t="s">
        <v>28</v>
      </c>
      <c r="D16" t="s">
        <v>87</v>
      </c>
      <c r="E16" s="1" t="s">
        <v>12</v>
      </c>
      <c r="F16" t="s">
        <v>19</v>
      </c>
      <c r="G16" s="1">
        <v>5167</v>
      </c>
      <c r="H16" s="20"/>
    </row>
    <row r="17" spans="1:12" x14ac:dyDescent="0.2">
      <c r="A17" s="1" t="s">
        <v>56</v>
      </c>
      <c r="B17" s="1" t="s">
        <v>61</v>
      </c>
      <c r="C17" t="s">
        <v>28</v>
      </c>
      <c r="D17" t="s">
        <v>87</v>
      </c>
      <c r="E17" s="1" t="s">
        <v>11</v>
      </c>
      <c r="F17" t="s">
        <v>24</v>
      </c>
      <c r="G17" s="1">
        <v>5173</v>
      </c>
      <c r="H17" s="21"/>
    </row>
    <row r="18" spans="1:12" x14ac:dyDescent="0.2">
      <c r="A18" s="1" t="s">
        <v>56</v>
      </c>
      <c r="B18" s="1" t="s">
        <v>61</v>
      </c>
      <c r="C18" t="s">
        <v>9</v>
      </c>
      <c r="D18" t="s">
        <v>87</v>
      </c>
      <c r="E18" s="1" t="s">
        <v>11</v>
      </c>
      <c r="F18" t="s">
        <v>8</v>
      </c>
      <c r="G18" s="1">
        <v>5144</v>
      </c>
      <c r="H18" s="21"/>
    </row>
    <row r="19" spans="1:12" x14ac:dyDescent="0.2">
      <c r="A19" s="1" t="s">
        <v>56</v>
      </c>
      <c r="B19" s="1" t="s">
        <v>61</v>
      </c>
      <c r="C19" t="s">
        <v>28</v>
      </c>
      <c r="D19" t="s">
        <v>87</v>
      </c>
      <c r="E19" s="1" t="s">
        <v>17</v>
      </c>
      <c r="F19" t="s">
        <v>25</v>
      </c>
      <c r="G19" s="1">
        <v>5174</v>
      </c>
      <c r="H19" s="22"/>
    </row>
    <row r="20" spans="1:12" x14ac:dyDescent="0.2">
      <c r="A20" s="1" t="s">
        <v>56</v>
      </c>
      <c r="B20" s="1" t="s">
        <v>61</v>
      </c>
      <c r="C20" t="s">
        <v>28</v>
      </c>
      <c r="D20" t="s">
        <v>87</v>
      </c>
      <c r="E20" s="1" t="s">
        <v>17</v>
      </c>
      <c r="F20" t="s">
        <v>22</v>
      </c>
      <c r="G20" s="1">
        <v>5171</v>
      </c>
      <c r="H20" s="22"/>
    </row>
    <row r="21" spans="1:12" x14ac:dyDescent="0.2">
      <c r="A21" s="1" t="s">
        <v>56</v>
      </c>
      <c r="B21" s="1" t="s">
        <v>61</v>
      </c>
      <c r="C21" t="s">
        <v>28</v>
      </c>
      <c r="D21" t="s">
        <v>87</v>
      </c>
      <c r="E21" s="1" t="s">
        <v>27</v>
      </c>
      <c r="F21" t="s">
        <v>26</v>
      </c>
      <c r="G21" s="1">
        <v>5170</v>
      </c>
      <c r="H21" s="23"/>
    </row>
    <row r="22" spans="1:12" x14ac:dyDescent="0.2">
      <c r="B22" s="1" t="s">
        <v>60</v>
      </c>
      <c r="C22" t="s">
        <v>10</v>
      </c>
      <c r="D22" t="s">
        <v>59</v>
      </c>
      <c r="F22" t="s">
        <v>58</v>
      </c>
      <c r="G22" s="1">
        <v>5694</v>
      </c>
      <c r="H22" s="24"/>
      <c r="L22" t="s">
        <v>83</v>
      </c>
    </row>
    <row r="23" spans="1:12" x14ac:dyDescent="0.2">
      <c r="B23" s="1" t="s">
        <v>60</v>
      </c>
      <c r="C23" t="s">
        <v>57</v>
      </c>
      <c r="D23" t="s">
        <v>59</v>
      </c>
      <c r="F23" t="s">
        <v>77</v>
      </c>
      <c r="G23" s="1">
        <v>5218</v>
      </c>
      <c r="H23" s="24"/>
      <c r="L23" t="s">
        <v>82</v>
      </c>
    </row>
    <row r="24" spans="1:12" x14ac:dyDescent="0.2">
      <c r="B24" s="1" t="s">
        <v>60</v>
      </c>
      <c r="C24" t="s">
        <v>57</v>
      </c>
      <c r="D24" t="s">
        <v>90</v>
      </c>
      <c r="F24" s="4" t="s">
        <v>73</v>
      </c>
      <c r="G24" s="1">
        <v>2876</v>
      </c>
      <c r="H24" s="24"/>
    </row>
    <row r="25" spans="1:12" x14ac:dyDescent="0.2">
      <c r="B25" s="1" t="s">
        <v>61</v>
      </c>
      <c r="C25" t="s">
        <v>28</v>
      </c>
      <c r="D25" t="s">
        <v>90</v>
      </c>
      <c r="F25" s="4" t="s">
        <v>72</v>
      </c>
      <c r="G25" s="1">
        <v>2886</v>
      </c>
      <c r="H25" s="24"/>
    </row>
    <row r="26" spans="1:12" x14ac:dyDescent="0.2">
      <c r="B26" s="1" t="s">
        <v>61</v>
      </c>
      <c r="C26" t="s">
        <v>10</v>
      </c>
      <c r="D26" t="s">
        <v>90</v>
      </c>
      <c r="F26" s="4" t="s">
        <v>80</v>
      </c>
      <c r="G26" s="1">
        <v>2875</v>
      </c>
      <c r="H26" s="24"/>
    </row>
    <row r="27" spans="1:12" x14ac:dyDescent="0.2">
      <c r="A27" s="1" t="s">
        <v>56</v>
      </c>
      <c r="B27" s="1" t="s">
        <v>61</v>
      </c>
      <c r="C27" t="s">
        <v>81</v>
      </c>
      <c r="D27" t="s">
        <v>62</v>
      </c>
      <c r="E27" s="1" t="s">
        <v>14</v>
      </c>
      <c r="F27" t="s">
        <v>69</v>
      </c>
      <c r="G27" s="1">
        <v>5189</v>
      </c>
      <c r="H27" s="17"/>
    </row>
    <row r="28" spans="1:12" x14ac:dyDescent="0.2">
      <c r="A28" s="1" t="s">
        <v>56</v>
      </c>
      <c r="B28" s="1" t="s">
        <v>61</v>
      </c>
      <c r="C28" t="s">
        <v>81</v>
      </c>
      <c r="D28" t="s">
        <v>62</v>
      </c>
      <c r="E28" s="1" t="s">
        <v>13</v>
      </c>
      <c r="F28" t="s">
        <v>68</v>
      </c>
      <c r="G28" s="1">
        <v>5188</v>
      </c>
      <c r="H28" s="18"/>
    </row>
    <row r="29" spans="1:12" x14ac:dyDescent="0.2">
      <c r="A29" s="1" t="s">
        <v>56</v>
      </c>
      <c r="B29" s="1" t="s">
        <v>61</v>
      </c>
      <c r="C29" t="s">
        <v>81</v>
      </c>
      <c r="D29" t="s">
        <v>62</v>
      </c>
      <c r="E29" s="1" t="s">
        <v>15</v>
      </c>
      <c r="F29" t="s">
        <v>66</v>
      </c>
      <c r="G29" s="1">
        <v>5190</v>
      </c>
      <c r="H29" s="19"/>
    </row>
    <row r="30" spans="1:12" x14ac:dyDescent="0.2">
      <c r="A30" s="1" t="s">
        <v>56</v>
      </c>
      <c r="B30" s="1" t="s">
        <v>61</v>
      </c>
      <c r="C30" t="s">
        <v>81</v>
      </c>
      <c r="D30" t="s">
        <v>62</v>
      </c>
      <c r="E30" s="1" t="s">
        <v>12</v>
      </c>
      <c r="F30" t="s">
        <v>67</v>
      </c>
      <c r="G30" s="1">
        <v>5193</v>
      </c>
      <c r="H30" s="20"/>
    </row>
    <row r="31" spans="1:12" x14ac:dyDescent="0.2">
      <c r="A31" s="1" t="s">
        <v>56</v>
      </c>
      <c r="B31" s="1" t="s">
        <v>61</v>
      </c>
      <c r="C31" t="s">
        <v>81</v>
      </c>
      <c r="D31" t="s">
        <v>62</v>
      </c>
      <c r="E31" s="1" t="s">
        <v>17</v>
      </c>
      <c r="F31" t="s">
        <v>65</v>
      </c>
      <c r="G31" s="1">
        <v>5192</v>
      </c>
      <c r="H31" s="22"/>
    </row>
    <row r="32" spans="1:12" x14ac:dyDescent="0.2">
      <c r="A32" s="1" t="s">
        <v>56</v>
      </c>
      <c r="B32" s="1" t="s">
        <v>61</v>
      </c>
      <c r="C32" t="s">
        <v>81</v>
      </c>
      <c r="D32" t="s">
        <v>62</v>
      </c>
      <c r="E32" s="1" t="s">
        <v>27</v>
      </c>
      <c r="F32" t="s">
        <v>63</v>
      </c>
      <c r="G32" s="1">
        <v>5194</v>
      </c>
      <c r="H32" s="23"/>
    </row>
    <row r="33" spans="1:8" x14ac:dyDescent="0.2">
      <c r="A33" s="1" t="s">
        <v>56</v>
      </c>
      <c r="B33" s="1" t="s">
        <v>61</v>
      </c>
      <c r="C33" t="s">
        <v>81</v>
      </c>
      <c r="D33" t="s">
        <v>62</v>
      </c>
      <c r="E33" s="1" t="s">
        <v>27</v>
      </c>
      <c r="F33" t="s">
        <v>64</v>
      </c>
      <c r="G33" s="1">
        <v>5191</v>
      </c>
      <c r="H33" s="23"/>
    </row>
    <row r="34" spans="1:8" x14ac:dyDescent="0.2">
      <c r="A34" s="1" t="s">
        <v>56</v>
      </c>
      <c r="B34" s="1" t="s">
        <v>61</v>
      </c>
      <c r="C34" t="s">
        <v>10</v>
      </c>
      <c r="D34" t="s">
        <v>91</v>
      </c>
      <c r="E34" s="1" t="s">
        <v>16</v>
      </c>
      <c r="F34" t="s">
        <v>30</v>
      </c>
      <c r="G34" s="1">
        <v>5177</v>
      </c>
      <c r="H34" s="16"/>
    </row>
    <row r="35" spans="1:8" x14ac:dyDescent="0.2">
      <c r="A35" s="1" t="s">
        <v>56</v>
      </c>
      <c r="B35" s="1" t="s">
        <v>61</v>
      </c>
      <c r="C35" t="s">
        <v>10</v>
      </c>
      <c r="D35" t="s">
        <v>91</v>
      </c>
      <c r="E35" s="1" t="s">
        <v>16</v>
      </c>
      <c r="F35" s="4" t="s">
        <v>74</v>
      </c>
      <c r="G35" s="1">
        <v>5163</v>
      </c>
      <c r="H35" s="16"/>
    </row>
    <row r="36" spans="1:8" x14ac:dyDescent="0.2">
      <c r="A36" s="1" t="s">
        <v>56</v>
      </c>
      <c r="B36" s="1" t="s">
        <v>61</v>
      </c>
      <c r="C36" t="s">
        <v>10</v>
      </c>
      <c r="D36" t="s">
        <v>91</v>
      </c>
      <c r="E36" s="1" t="s">
        <v>14</v>
      </c>
      <c r="F36" s="4" t="s">
        <v>74</v>
      </c>
      <c r="G36" s="1">
        <v>5147</v>
      </c>
      <c r="H36" s="17"/>
    </row>
    <row r="37" spans="1:8" x14ac:dyDescent="0.2">
      <c r="A37" s="1" t="s">
        <v>56</v>
      </c>
      <c r="B37" s="1" t="s">
        <v>61</v>
      </c>
      <c r="C37" t="s">
        <v>10</v>
      </c>
      <c r="D37" t="s">
        <v>91</v>
      </c>
      <c r="E37" s="1" t="s">
        <v>13</v>
      </c>
      <c r="F37" s="4" t="s">
        <v>74</v>
      </c>
      <c r="G37" s="1">
        <v>5146</v>
      </c>
      <c r="H37" s="18"/>
    </row>
    <row r="38" spans="1:8" x14ac:dyDescent="0.2">
      <c r="A38" s="1" t="s">
        <v>56</v>
      </c>
      <c r="B38" s="1" t="s">
        <v>61</v>
      </c>
      <c r="C38" t="s">
        <v>10</v>
      </c>
      <c r="D38" t="s">
        <v>91</v>
      </c>
      <c r="E38" s="1" t="s">
        <v>15</v>
      </c>
      <c r="F38" s="4" t="s">
        <v>74</v>
      </c>
      <c r="G38" s="1">
        <v>5148</v>
      </c>
      <c r="H38" s="19"/>
    </row>
    <row r="39" spans="1:8" x14ac:dyDescent="0.2">
      <c r="A39" s="1" t="s">
        <v>56</v>
      </c>
      <c r="B39" s="1" t="s">
        <v>61</v>
      </c>
      <c r="C39" t="s">
        <v>10</v>
      </c>
      <c r="D39" t="s">
        <v>91</v>
      </c>
      <c r="E39" s="1" t="s">
        <v>12</v>
      </c>
      <c r="F39" t="s">
        <v>33</v>
      </c>
      <c r="G39" s="1">
        <v>5175</v>
      </c>
      <c r="H39" s="20"/>
    </row>
    <row r="40" spans="1:8" x14ac:dyDescent="0.2">
      <c r="A40" s="1" t="s">
        <v>56</v>
      </c>
      <c r="B40" s="1" t="s">
        <v>61</v>
      </c>
      <c r="C40" t="s">
        <v>10</v>
      </c>
      <c r="D40" t="s">
        <v>91</v>
      </c>
      <c r="E40" s="1" t="s">
        <v>12</v>
      </c>
      <c r="F40" s="4" t="s">
        <v>74</v>
      </c>
      <c r="G40" s="1">
        <v>5145</v>
      </c>
      <c r="H40" s="20"/>
    </row>
    <row r="41" spans="1:8" x14ac:dyDescent="0.2">
      <c r="A41" s="1" t="s">
        <v>56</v>
      </c>
      <c r="B41" s="1" t="s">
        <v>61</v>
      </c>
      <c r="C41" t="s">
        <v>10</v>
      </c>
      <c r="D41" t="s">
        <v>91</v>
      </c>
      <c r="E41" s="1" t="s">
        <v>17</v>
      </c>
      <c r="F41" t="s">
        <v>32</v>
      </c>
      <c r="G41" s="1">
        <v>5179</v>
      </c>
      <c r="H41" s="22"/>
    </row>
    <row r="42" spans="1:8" x14ac:dyDescent="0.2">
      <c r="A42" s="1" t="s">
        <v>56</v>
      </c>
      <c r="B42" s="1" t="s">
        <v>61</v>
      </c>
      <c r="C42" t="s">
        <v>10</v>
      </c>
      <c r="D42" t="s">
        <v>91</v>
      </c>
      <c r="E42" s="1" t="s">
        <v>17</v>
      </c>
      <c r="F42" s="4" t="s">
        <v>74</v>
      </c>
      <c r="G42" s="1">
        <v>5164</v>
      </c>
      <c r="H42" s="22"/>
    </row>
    <row r="43" spans="1:8" x14ac:dyDescent="0.2">
      <c r="A43" s="1" t="s">
        <v>56</v>
      </c>
      <c r="B43" s="1" t="s">
        <v>61</v>
      </c>
      <c r="C43" t="s">
        <v>10</v>
      </c>
      <c r="D43" t="s">
        <v>91</v>
      </c>
      <c r="E43" s="1" t="s">
        <v>27</v>
      </c>
      <c r="F43" t="s">
        <v>29</v>
      </c>
      <c r="G43" s="1">
        <v>5176</v>
      </c>
      <c r="H43" s="23"/>
    </row>
    <row r="44" spans="1:8" x14ac:dyDescent="0.2">
      <c r="A44" s="1" t="s">
        <v>56</v>
      </c>
      <c r="B44" s="1" t="s">
        <v>61</v>
      </c>
      <c r="C44" t="s">
        <v>10</v>
      </c>
      <c r="D44" t="s">
        <v>91</v>
      </c>
      <c r="E44" s="1" t="s">
        <v>27</v>
      </c>
      <c r="F44" t="s">
        <v>31</v>
      </c>
      <c r="G44" s="1">
        <v>5178</v>
      </c>
      <c r="H44" s="23"/>
    </row>
    <row r="45" spans="1:8" x14ac:dyDescent="0.2">
      <c r="A45" s="1" t="s">
        <v>56</v>
      </c>
      <c r="B45" s="1" t="s">
        <v>61</v>
      </c>
      <c r="C45" t="s">
        <v>5</v>
      </c>
      <c r="D45" t="s">
        <v>92</v>
      </c>
      <c r="E45" s="1" t="s">
        <v>55</v>
      </c>
      <c r="F45" t="s">
        <v>7</v>
      </c>
      <c r="G45" s="1">
        <v>5200</v>
      </c>
      <c r="H45" s="15"/>
    </row>
    <row r="46" spans="1:8" x14ac:dyDescent="0.2">
      <c r="A46" s="1" t="s">
        <v>56</v>
      </c>
      <c r="B46" s="1" t="s">
        <v>61</v>
      </c>
      <c r="C46" t="s">
        <v>5</v>
      </c>
      <c r="D46" t="s">
        <v>92</v>
      </c>
      <c r="E46" s="1" t="s">
        <v>16</v>
      </c>
      <c r="F46" t="s">
        <v>46</v>
      </c>
      <c r="G46" s="1">
        <v>5197</v>
      </c>
      <c r="H46" s="16"/>
    </row>
    <row r="47" spans="1:8" x14ac:dyDescent="0.2">
      <c r="A47" s="1" t="s">
        <v>56</v>
      </c>
      <c r="B47" s="1" t="s">
        <v>61</v>
      </c>
      <c r="C47" t="s">
        <v>5</v>
      </c>
      <c r="D47" t="s">
        <v>92</v>
      </c>
      <c r="E47" s="1" t="s">
        <v>16</v>
      </c>
      <c r="F47" t="s">
        <v>46</v>
      </c>
      <c r="G47" s="1">
        <v>5202</v>
      </c>
      <c r="H47" s="16"/>
    </row>
    <row r="48" spans="1:8" x14ac:dyDescent="0.2">
      <c r="A48" s="1" t="s">
        <v>56</v>
      </c>
      <c r="B48" s="1" t="s">
        <v>61</v>
      </c>
      <c r="C48" t="s">
        <v>5</v>
      </c>
      <c r="D48" t="s">
        <v>92</v>
      </c>
      <c r="E48" s="1" t="s">
        <v>16</v>
      </c>
      <c r="F48" t="s">
        <v>54</v>
      </c>
      <c r="G48" s="1">
        <v>5150</v>
      </c>
      <c r="H48" s="16"/>
    </row>
    <row r="49" spans="1:8" x14ac:dyDescent="0.2">
      <c r="A49" s="1" t="s">
        <v>56</v>
      </c>
      <c r="B49" s="1" t="s">
        <v>61</v>
      </c>
      <c r="C49" t="s">
        <v>5</v>
      </c>
      <c r="D49" t="s">
        <v>92</v>
      </c>
      <c r="E49" s="1" t="s">
        <v>14</v>
      </c>
      <c r="F49" t="s">
        <v>45</v>
      </c>
      <c r="G49" s="1">
        <v>5196</v>
      </c>
      <c r="H49" s="17"/>
    </row>
    <row r="50" spans="1:8" x14ac:dyDescent="0.2">
      <c r="A50" s="1" t="s">
        <v>56</v>
      </c>
      <c r="B50" s="1" t="s">
        <v>61</v>
      </c>
      <c r="C50" t="s">
        <v>5</v>
      </c>
      <c r="D50" t="s">
        <v>92</v>
      </c>
      <c r="E50" s="1" t="s">
        <v>14</v>
      </c>
      <c r="F50" t="s">
        <v>45</v>
      </c>
      <c r="G50" s="1">
        <v>5201</v>
      </c>
      <c r="H50" s="17"/>
    </row>
    <row r="51" spans="1:8" x14ac:dyDescent="0.2">
      <c r="A51" s="1" t="s">
        <v>56</v>
      </c>
      <c r="B51" s="1" t="s">
        <v>61</v>
      </c>
      <c r="C51" t="s">
        <v>5</v>
      </c>
      <c r="D51" t="s">
        <v>92</v>
      </c>
      <c r="E51" s="1" t="s">
        <v>13</v>
      </c>
      <c r="F51" t="s">
        <v>47</v>
      </c>
      <c r="G51" s="1">
        <v>5198</v>
      </c>
      <c r="H51" s="18"/>
    </row>
    <row r="52" spans="1:8" x14ac:dyDescent="0.2">
      <c r="A52" s="1" t="s">
        <v>56</v>
      </c>
      <c r="B52" s="1" t="s">
        <v>61</v>
      </c>
      <c r="C52" t="s">
        <v>5</v>
      </c>
      <c r="D52" t="s">
        <v>92</v>
      </c>
      <c r="E52" s="1" t="s">
        <v>12</v>
      </c>
      <c r="F52" t="s">
        <v>48</v>
      </c>
      <c r="G52" s="1">
        <v>5199</v>
      </c>
      <c r="H52" s="20"/>
    </row>
    <row r="53" spans="1:8" x14ac:dyDescent="0.2">
      <c r="A53" s="1" t="s">
        <v>56</v>
      </c>
      <c r="B53" s="1" t="s">
        <v>61</v>
      </c>
      <c r="C53" t="s">
        <v>5</v>
      </c>
      <c r="D53" t="s">
        <v>92</v>
      </c>
      <c r="E53" s="1" t="s">
        <v>12</v>
      </c>
      <c r="F53" t="s">
        <v>48</v>
      </c>
      <c r="G53" s="1">
        <v>5203</v>
      </c>
      <c r="H53" s="20"/>
    </row>
    <row r="54" spans="1:8" x14ac:dyDescent="0.2">
      <c r="A54" s="1" t="s">
        <v>56</v>
      </c>
      <c r="B54" s="1" t="s">
        <v>61</v>
      </c>
      <c r="C54" t="s">
        <v>5</v>
      </c>
      <c r="D54" t="s">
        <v>92</v>
      </c>
      <c r="E54" s="1" t="s">
        <v>27</v>
      </c>
      <c r="F54" t="s">
        <v>44</v>
      </c>
      <c r="G54" s="1">
        <v>5195</v>
      </c>
      <c r="H54" s="23"/>
    </row>
    <row r="55" spans="1:8" x14ac:dyDescent="0.2">
      <c r="A55" s="1" t="s">
        <v>56</v>
      </c>
      <c r="B55" s="1" t="s">
        <v>61</v>
      </c>
      <c r="C55" t="s">
        <v>10</v>
      </c>
      <c r="D55" t="s">
        <v>93</v>
      </c>
      <c r="E55" s="1" t="s">
        <v>16</v>
      </c>
      <c r="F55" t="s">
        <v>40</v>
      </c>
      <c r="G55" s="1">
        <v>5186</v>
      </c>
      <c r="H55" s="16"/>
    </row>
    <row r="56" spans="1:8" x14ac:dyDescent="0.2">
      <c r="A56" s="1" t="s">
        <v>56</v>
      </c>
      <c r="B56" s="1" t="s">
        <v>61</v>
      </c>
      <c r="C56" t="s">
        <v>43</v>
      </c>
      <c r="D56" t="s">
        <v>93</v>
      </c>
      <c r="E56" s="1" t="s">
        <v>16</v>
      </c>
      <c r="F56" t="s">
        <v>40</v>
      </c>
      <c r="G56" s="1">
        <v>5210</v>
      </c>
      <c r="H56" s="16"/>
    </row>
    <row r="57" spans="1:8" x14ac:dyDescent="0.2">
      <c r="A57" s="1" t="s">
        <v>56</v>
      </c>
      <c r="B57" s="1" t="s">
        <v>61</v>
      </c>
      <c r="C57" t="s">
        <v>10</v>
      </c>
      <c r="D57" t="s">
        <v>93</v>
      </c>
      <c r="E57" s="1" t="s">
        <v>14</v>
      </c>
      <c r="F57" t="s">
        <v>36</v>
      </c>
      <c r="G57" s="1">
        <v>5182</v>
      </c>
      <c r="H57" s="17"/>
    </row>
    <row r="58" spans="1:8" x14ac:dyDescent="0.2">
      <c r="A58" s="1" t="s">
        <v>56</v>
      </c>
      <c r="B58" s="1" t="s">
        <v>61</v>
      </c>
      <c r="C58" t="s">
        <v>43</v>
      </c>
      <c r="D58" t="s">
        <v>93</v>
      </c>
      <c r="E58" s="1" t="s">
        <v>14</v>
      </c>
      <c r="F58" t="s">
        <v>36</v>
      </c>
      <c r="G58" s="1">
        <v>5206</v>
      </c>
      <c r="H58" s="17"/>
    </row>
    <row r="59" spans="1:8" x14ac:dyDescent="0.2">
      <c r="A59" s="1" t="s">
        <v>56</v>
      </c>
      <c r="B59" s="1" t="s">
        <v>61</v>
      </c>
      <c r="C59" t="s">
        <v>10</v>
      </c>
      <c r="D59" t="s">
        <v>93</v>
      </c>
      <c r="E59" s="1" t="s">
        <v>13</v>
      </c>
      <c r="F59" t="s">
        <v>34</v>
      </c>
      <c r="G59" s="1">
        <v>5180</v>
      </c>
      <c r="H59" s="18"/>
    </row>
    <row r="60" spans="1:8" x14ac:dyDescent="0.2">
      <c r="A60" s="1" t="s">
        <v>56</v>
      </c>
      <c r="B60" s="1" t="s">
        <v>61</v>
      </c>
      <c r="C60" t="s">
        <v>43</v>
      </c>
      <c r="D60" t="s">
        <v>93</v>
      </c>
      <c r="E60" s="1" t="s">
        <v>13</v>
      </c>
      <c r="F60" t="s">
        <v>34</v>
      </c>
      <c r="G60" s="1">
        <v>5204</v>
      </c>
      <c r="H60" s="18"/>
    </row>
    <row r="61" spans="1:8" x14ac:dyDescent="0.2">
      <c r="A61" s="1" t="s">
        <v>56</v>
      </c>
      <c r="B61" s="1" t="s">
        <v>61</v>
      </c>
      <c r="C61" t="s">
        <v>10</v>
      </c>
      <c r="D61" t="s">
        <v>93</v>
      </c>
      <c r="E61" s="1" t="s">
        <v>15</v>
      </c>
      <c r="F61" t="s">
        <v>37</v>
      </c>
      <c r="G61" s="1">
        <v>5183</v>
      </c>
      <c r="H61" s="19"/>
    </row>
    <row r="62" spans="1:8" x14ac:dyDescent="0.2">
      <c r="A62" s="1" t="s">
        <v>56</v>
      </c>
      <c r="B62" s="1" t="s">
        <v>61</v>
      </c>
      <c r="C62" t="s">
        <v>43</v>
      </c>
      <c r="D62" t="s">
        <v>93</v>
      </c>
      <c r="E62" s="1" t="s">
        <v>15</v>
      </c>
      <c r="F62" t="s">
        <v>37</v>
      </c>
      <c r="G62" s="1">
        <v>5207</v>
      </c>
      <c r="H62" s="19"/>
    </row>
    <row r="63" spans="1:8" x14ac:dyDescent="0.2">
      <c r="A63" s="1" t="s">
        <v>56</v>
      </c>
      <c r="B63" s="1" t="s">
        <v>61</v>
      </c>
      <c r="C63" t="s">
        <v>10</v>
      </c>
      <c r="D63" t="s">
        <v>93</v>
      </c>
      <c r="E63" s="1" t="s">
        <v>12</v>
      </c>
      <c r="F63" t="s">
        <v>35</v>
      </c>
      <c r="G63" s="1">
        <v>5181</v>
      </c>
      <c r="H63" s="20"/>
    </row>
    <row r="64" spans="1:8" x14ac:dyDescent="0.2">
      <c r="A64" s="1" t="s">
        <v>56</v>
      </c>
      <c r="B64" s="1" t="s">
        <v>61</v>
      </c>
      <c r="C64" t="s">
        <v>43</v>
      </c>
      <c r="D64" t="s">
        <v>93</v>
      </c>
      <c r="E64" s="1" t="s">
        <v>12</v>
      </c>
      <c r="F64" t="s">
        <v>35</v>
      </c>
      <c r="G64" s="1">
        <v>5205</v>
      </c>
      <c r="H64" s="20"/>
    </row>
    <row r="65" spans="1:12" x14ac:dyDescent="0.2">
      <c r="A65" s="1" t="s">
        <v>56</v>
      </c>
      <c r="B65" s="1" t="s">
        <v>61</v>
      </c>
      <c r="C65" t="s">
        <v>10</v>
      </c>
      <c r="D65" t="s">
        <v>93</v>
      </c>
      <c r="E65" s="1" t="s">
        <v>11</v>
      </c>
      <c r="F65" t="s">
        <v>41</v>
      </c>
      <c r="G65" s="1">
        <v>5187</v>
      </c>
      <c r="H65" s="21"/>
    </row>
    <row r="66" spans="1:12" x14ac:dyDescent="0.2">
      <c r="A66" s="1" t="s">
        <v>56</v>
      </c>
      <c r="B66" s="1" t="s">
        <v>61</v>
      </c>
      <c r="C66" t="s">
        <v>43</v>
      </c>
      <c r="D66" t="s">
        <v>93</v>
      </c>
      <c r="E66" s="1" t="s">
        <v>11</v>
      </c>
      <c r="F66" t="s">
        <v>41</v>
      </c>
      <c r="G66" s="1">
        <v>5212</v>
      </c>
      <c r="H66" s="21"/>
    </row>
    <row r="67" spans="1:12" x14ac:dyDescent="0.2">
      <c r="A67" s="1" t="s">
        <v>56</v>
      </c>
      <c r="B67" s="1" t="s">
        <v>61</v>
      </c>
      <c r="C67" t="s">
        <v>10</v>
      </c>
      <c r="D67" t="s">
        <v>93</v>
      </c>
      <c r="E67" s="1" t="s">
        <v>17</v>
      </c>
      <c r="F67" t="s">
        <v>39</v>
      </c>
      <c r="G67" s="1">
        <v>5185</v>
      </c>
      <c r="H67" s="22"/>
    </row>
    <row r="68" spans="1:12" x14ac:dyDescent="0.2">
      <c r="A68" s="1" t="s">
        <v>56</v>
      </c>
      <c r="B68" s="1" t="s">
        <v>61</v>
      </c>
      <c r="C68" t="s">
        <v>43</v>
      </c>
      <c r="D68" t="s">
        <v>93</v>
      </c>
      <c r="E68" s="1" t="s">
        <v>17</v>
      </c>
      <c r="F68" t="s">
        <v>39</v>
      </c>
      <c r="G68" s="1">
        <v>5209</v>
      </c>
      <c r="H68" s="22"/>
    </row>
    <row r="69" spans="1:12" x14ac:dyDescent="0.2">
      <c r="A69" s="1" t="s">
        <v>56</v>
      </c>
      <c r="B69" s="1" t="s">
        <v>61</v>
      </c>
      <c r="C69" t="s">
        <v>10</v>
      </c>
      <c r="D69" t="s">
        <v>93</v>
      </c>
      <c r="E69" s="1" t="s">
        <v>27</v>
      </c>
      <c r="F69" t="s">
        <v>38</v>
      </c>
      <c r="G69" s="1">
        <v>5184</v>
      </c>
      <c r="H69" s="23"/>
    </row>
    <row r="70" spans="1:12" x14ac:dyDescent="0.2">
      <c r="A70" s="1" t="s">
        <v>56</v>
      </c>
      <c r="B70" s="1" t="s">
        <v>61</v>
      </c>
      <c r="C70" t="s">
        <v>43</v>
      </c>
      <c r="D70" t="s">
        <v>93</v>
      </c>
      <c r="E70" s="1" t="s">
        <v>27</v>
      </c>
      <c r="F70" t="s">
        <v>38</v>
      </c>
      <c r="G70" s="1">
        <v>5208</v>
      </c>
      <c r="H70" s="23"/>
    </row>
    <row r="71" spans="1:12" x14ac:dyDescent="0.2">
      <c r="A71" s="1" t="s">
        <v>56</v>
      </c>
      <c r="B71" s="1" t="s">
        <v>61</v>
      </c>
      <c r="C71" t="s">
        <v>10</v>
      </c>
      <c r="D71" t="s">
        <v>93</v>
      </c>
      <c r="E71" s="1" t="s">
        <v>27</v>
      </c>
      <c r="F71" t="s">
        <v>70</v>
      </c>
      <c r="G71" s="1">
        <v>5213</v>
      </c>
      <c r="H71" s="23"/>
    </row>
    <row r="72" spans="1:12" x14ac:dyDescent="0.2">
      <c r="B72" s="1" t="s">
        <v>61</v>
      </c>
      <c r="C72" t="s">
        <v>10</v>
      </c>
      <c r="D72" t="s">
        <v>93</v>
      </c>
      <c r="F72" t="s">
        <v>6</v>
      </c>
      <c r="G72" s="1">
        <v>5214</v>
      </c>
      <c r="H72" s="24"/>
      <c r="L72" t="s">
        <v>71</v>
      </c>
    </row>
    <row r="73" spans="1:12" x14ac:dyDescent="0.2">
      <c r="A73" s="1" t="s">
        <v>56</v>
      </c>
      <c r="B73" s="1" t="s">
        <v>61</v>
      </c>
      <c r="C73" t="s">
        <v>5</v>
      </c>
      <c r="D73" t="s">
        <v>52</v>
      </c>
      <c r="E73" s="1" t="s">
        <v>14</v>
      </c>
      <c r="F73" t="s">
        <v>50</v>
      </c>
      <c r="G73" s="1">
        <v>5161</v>
      </c>
      <c r="H73" s="17"/>
      <c r="J73" t="s">
        <v>102</v>
      </c>
    </row>
    <row r="74" spans="1:12" x14ac:dyDescent="0.2">
      <c r="A74" s="1" t="s">
        <v>56</v>
      </c>
      <c r="B74" s="1" t="s">
        <v>61</v>
      </c>
      <c r="C74" t="s">
        <v>5</v>
      </c>
      <c r="D74" t="s">
        <v>52</v>
      </c>
      <c r="E74" s="1" t="s">
        <v>14</v>
      </c>
      <c r="F74" t="s">
        <v>51</v>
      </c>
      <c r="G74" s="1">
        <v>5215</v>
      </c>
      <c r="H74" s="17"/>
    </row>
    <row r="75" spans="1:12" x14ac:dyDescent="0.2">
      <c r="A75" s="1" t="s">
        <v>56</v>
      </c>
      <c r="B75" s="1" t="s">
        <v>61</v>
      </c>
      <c r="C75" t="s">
        <v>5</v>
      </c>
      <c r="D75" t="s">
        <v>52</v>
      </c>
      <c r="E75" s="1" t="s">
        <v>13</v>
      </c>
      <c r="F75" t="s">
        <v>50</v>
      </c>
      <c r="G75" s="1">
        <v>5162</v>
      </c>
      <c r="H75" s="18"/>
      <c r="J75" t="s">
        <v>102</v>
      </c>
    </row>
  </sheetData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FD88127-3034-457B-A49B-B5AD3F7EE822}">
          <x14:formula1>
            <xm:f>_validations!$A$1:$A$4</xm:f>
          </x14:formula1>
          <xm:sqref>J7:J75</xm:sqref>
        </x14:dataValidation>
        <x14:dataValidation type="list" allowBlank="1" showInputMessage="1" showErrorMessage="1" xr:uid="{D5443340-56C2-47B8-B23A-C115D39ABBC2}">
          <x14:formula1>
            <xm:f>_validations!$B$1:$B$10</xm:f>
          </x14:formula1>
          <xm:sqref>E7:E75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663BE-9AD1-4A53-A083-9D9EFEB74711}">
  <sheetPr codeName="Sheet4"/>
  <dimension ref="A2:G48"/>
  <sheetViews>
    <sheetView zoomScale="115" zoomScaleNormal="115" workbookViewId="0">
      <pane ySplit="6" topLeftCell="A22" activePane="bottomLeft" state="frozen"/>
      <selection pane="bottomLeft" activeCell="D31" sqref="D31"/>
    </sheetView>
  </sheetViews>
  <sheetFormatPr defaultColWidth="9.140625" defaultRowHeight="12.75" x14ac:dyDescent="0.2"/>
  <cols>
    <col min="1" max="1" width="13.42578125" style="1" bestFit="1" customWidth="1"/>
    <col min="2" max="2" width="13.7109375" style="1" customWidth="1"/>
    <col min="3" max="3" width="24.5703125" bestFit="1" customWidth="1"/>
    <col min="4" max="4" width="48.42578125" bestFit="1" customWidth="1"/>
    <col min="6" max="7" width="23.28515625" bestFit="1" customWidth="1"/>
  </cols>
  <sheetData>
    <row r="2" spans="1:7" ht="18.75" thickBot="1" x14ac:dyDescent="0.3">
      <c r="A2" s="7" t="s">
        <v>75</v>
      </c>
      <c r="B2" s="5">
        <f>COUNTIF(MarkersTable[Included],"&lt;&gt;")</f>
        <v>35</v>
      </c>
      <c r="D2" s="13"/>
    </row>
    <row r="3" spans="1:7" x14ac:dyDescent="0.2">
      <c r="A3" s="8" t="s">
        <v>76</v>
      </c>
      <c r="B3" s="9">
        <v>14</v>
      </c>
    </row>
    <row r="4" spans="1:7" ht="13.5" thickBot="1" x14ac:dyDescent="0.25">
      <c r="A4" s="10" t="s">
        <v>94</v>
      </c>
      <c r="B4" s="11">
        <v>1</v>
      </c>
    </row>
    <row r="6" spans="1:7" ht="13.5" thickBot="1" x14ac:dyDescent="0.25">
      <c r="A6" s="2" t="s">
        <v>75</v>
      </c>
      <c r="B6" s="2" t="s">
        <v>105</v>
      </c>
      <c r="C6" s="3" t="s">
        <v>2</v>
      </c>
      <c r="D6" s="3" t="s">
        <v>106</v>
      </c>
      <c r="E6" s="3" t="s">
        <v>95</v>
      </c>
      <c r="F6" s="3" t="s">
        <v>4</v>
      </c>
      <c r="G6" s="26" t="s">
        <v>192</v>
      </c>
    </row>
    <row r="7" spans="1:7" ht="12.75" customHeight="1" x14ac:dyDescent="0.2">
      <c r="A7" s="1" t="s">
        <v>56</v>
      </c>
      <c r="B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7" t="s">
        <v>10</v>
      </c>
      <c r="D7" t="s">
        <v>112</v>
      </c>
      <c r="E7" s="14"/>
      <c r="G7" s="25" t="s">
        <v>117</v>
      </c>
    </row>
    <row r="8" spans="1:7" ht="12.75" customHeight="1" x14ac:dyDescent="0.2">
      <c r="A8" s="1" t="s">
        <v>56</v>
      </c>
      <c r="B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8" t="s">
        <v>10</v>
      </c>
      <c r="D8" t="s">
        <v>168</v>
      </c>
      <c r="E8" s="14"/>
      <c r="G8" s="25" t="s">
        <v>187</v>
      </c>
    </row>
    <row r="9" spans="1:7" ht="12.75" customHeight="1" x14ac:dyDescent="0.2">
      <c r="A9" s="1" t="s">
        <v>56</v>
      </c>
      <c r="B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9" t="s">
        <v>10</v>
      </c>
      <c r="D9" t="s">
        <v>169</v>
      </c>
      <c r="E9" s="14"/>
      <c r="G9" s="25" t="s">
        <v>188</v>
      </c>
    </row>
    <row r="10" spans="1:7" ht="12.75" customHeight="1" x14ac:dyDescent="0.2">
      <c r="A10" s="1" t="s">
        <v>56</v>
      </c>
      <c r="B1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0" t="s">
        <v>10</v>
      </c>
      <c r="D10" t="s">
        <v>140</v>
      </c>
      <c r="E10" s="14"/>
      <c r="G10" s="25" t="s">
        <v>186</v>
      </c>
    </row>
    <row r="11" spans="1:7" ht="12.75" customHeight="1" x14ac:dyDescent="0.2">
      <c r="A11" s="1" t="s">
        <v>56</v>
      </c>
      <c r="B1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1" t="s">
        <v>10</v>
      </c>
      <c r="D11" t="s">
        <v>138</v>
      </c>
      <c r="E11" s="14"/>
      <c r="G11" s="25" t="s">
        <v>181</v>
      </c>
    </row>
    <row r="12" spans="1:7" ht="12.75" customHeight="1" x14ac:dyDescent="0.2">
      <c r="A12" s="1" t="s">
        <v>56</v>
      </c>
      <c r="B1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2" t="s">
        <v>10</v>
      </c>
      <c r="D12" t="s">
        <v>136</v>
      </c>
      <c r="E12" s="14"/>
      <c r="G12" s="25" t="s">
        <v>183</v>
      </c>
    </row>
    <row r="13" spans="1:7" ht="12.75" customHeight="1" x14ac:dyDescent="0.2">
      <c r="A13" s="1" t="s">
        <v>56</v>
      </c>
      <c r="B1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3" t="s">
        <v>10</v>
      </c>
      <c r="D13" t="s">
        <v>141</v>
      </c>
      <c r="E13" s="14"/>
      <c r="G13" s="25" t="s">
        <v>185</v>
      </c>
    </row>
    <row r="14" spans="1:7" ht="12.75" customHeight="1" x14ac:dyDescent="0.2">
      <c r="A14" s="1" t="s">
        <v>56</v>
      </c>
      <c r="B1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4" t="s">
        <v>10</v>
      </c>
      <c r="D14" t="s">
        <v>144</v>
      </c>
      <c r="E14" s="14"/>
      <c r="G14" s="25" t="s">
        <v>180</v>
      </c>
    </row>
    <row r="15" spans="1:7" ht="12.75" customHeight="1" x14ac:dyDescent="0.2">
      <c r="A15" s="1" t="s">
        <v>56</v>
      </c>
      <c r="B1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15" t="s">
        <v>10</v>
      </c>
      <c r="D15" t="s">
        <v>166</v>
      </c>
      <c r="E15" s="14"/>
      <c r="G15" s="25" t="s">
        <v>167</v>
      </c>
    </row>
    <row r="16" spans="1:7" ht="12.75" customHeight="1" x14ac:dyDescent="0.2">
      <c r="A16" s="1" t="s">
        <v>56</v>
      </c>
      <c r="B1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6" t="s">
        <v>10</v>
      </c>
      <c r="D16" t="s">
        <v>139</v>
      </c>
      <c r="E16" s="14"/>
      <c r="G16" s="25" t="s">
        <v>191</v>
      </c>
    </row>
    <row r="17" spans="1:7" ht="12.75" customHeight="1" x14ac:dyDescent="0.2">
      <c r="A17" s="1" t="s">
        <v>56</v>
      </c>
      <c r="B1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7" t="s">
        <v>10</v>
      </c>
      <c r="D17" t="s">
        <v>137</v>
      </c>
      <c r="E17" s="14"/>
      <c r="G17" s="25" t="s">
        <v>182</v>
      </c>
    </row>
    <row r="18" spans="1:7" ht="12.75" customHeight="1" x14ac:dyDescent="0.2">
      <c r="A18" s="1" t="s">
        <v>56</v>
      </c>
      <c r="B1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8" t="s">
        <v>10</v>
      </c>
      <c r="D18" t="s">
        <v>142</v>
      </c>
      <c r="E18" s="14"/>
      <c r="G18" s="25" t="s">
        <v>184</v>
      </c>
    </row>
    <row r="19" spans="1:7" ht="12.75" customHeight="1" x14ac:dyDescent="0.2">
      <c r="A19" s="1" t="s">
        <v>56</v>
      </c>
      <c r="B1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19" t="s">
        <v>10</v>
      </c>
      <c r="D19" t="s">
        <v>143</v>
      </c>
      <c r="E19" s="14"/>
      <c r="G19" s="25" t="s">
        <v>179</v>
      </c>
    </row>
    <row r="20" spans="1:7" ht="12.75" customHeight="1" x14ac:dyDescent="0.2">
      <c r="A20" s="1" t="s">
        <v>56</v>
      </c>
      <c r="B2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0" t="s">
        <v>10</v>
      </c>
      <c r="D20" t="s">
        <v>160</v>
      </c>
      <c r="E20" s="14"/>
      <c r="F20" t="s">
        <v>158</v>
      </c>
      <c r="G20" s="25" t="s">
        <v>128</v>
      </c>
    </row>
    <row r="21" spans="1:7" ht="12.75" customHeight="1" x14ac:dyDescent="0.2">
      <c r="A21" s="1" t="s">
        <v>56</v>
      </c>
      <c r="B2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1" t="s">
        <v>10</v>
      </c>
      <c r="D21" t="s">
        <v>159</v>
      </c>
      <c r="E21" s="14"/>
      <c r="F21" t="s">
        <v>158</v>
      </c>
      <c r="G21" s="25" t="s">
        <v>130</v>
      </c>
    </row>
    <row r="22" spans="1:7" ht="12.75" customHeight="1" x14ac:dyDescent="0.2">
      <c r="A22" s="1" t="s">
        <v>56</v>
      </c>
      <c r="B2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2" t="s">
        <v>10</v>
      </c>
      <c r="D22" t="s">
        <v>164</v>
      </c>
      <c r="E22" s="14"/>
      <c r="F22" t="s">
        <v>163</v>
      </c>
      <c r="G22" s="25" t="s">
        <v>190</v>
      </c>
    </row>
    <row r="23" spans="1:7" ht="12.75" customHeight="1" x14ac:dyDescent="0.2">
      <c r="A23" s="1" t="s">
        <v>56</v>
      </c>
      <c r="B2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3" t="s">
        <v>10</v>
      </c>
      <c r="D23" t="s">
        <v>161</v>
      </c>
      <c r="E23" s="14"/>
      <c r="F23" t="s">
        <v>162</v>
      </c>
      <c r="G23" s="25" t="s">
        <v>129</v>
      </c>
    </row>
    <row r="24" spans="1:7" ht="12.75" customHeight="1" x14ac:dyDescent="0.2">
      <c r="A24" s="1" t="s">
        <v>56</v>
      </c>
      <c r="B2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4" t="s">
        <v>10</v>
      </c>
      <c r="D24" t="s">
        <v>165</v>
      </c>
      <c r="E24" s="14"/>
      <c r="F24" t="s">
        <v>157</v>
      </c>
      <c r="G24" s="25" t="s">
        <v>126</v>
      </c>
    </row>
    <row r="25" spans="1:7" ht="12.75" customHeight="1" x14ac:dyDescent="0.2">
      <c r="A25" s="1" t="s">
        <v>56</v>
      </c>
      <c r="B2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5" t="s">
        <v>10</v>
      </c>
      <c r="D25" t="s">
        <v>156</v>
      </c>
      <c r="E25" s="14"/>
      <c r="F25" t="s">
        <v>157</v>
      </c>
      <c r="G25" s="25" t="s">
        <v>127</v>
      </c>
    </row>
    <row r="26" spans="1:7" ht="12.75" customHeight="1" x14ac:dyDescent="0.2">
      <c r="B2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6" t="s">
        <v>43</v>
      </c>
      <c r="D26" t="s">
        <v>152</v>
      </c>
      <c r="E26" s="14"/>
      <c r="G26" s="25" t="s">
        <v>148</v>
      </c>
    </row>
    <row r="27" spans="1:7" ht="12.75" customHeight="1" x14ac:dyDescent="0.2">
      <c r="B2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7" t="s">
        <v>43</v>
      </c>
      <c r="D27" t="s">
        <v>153</v>
      </c>
      <c r="E27" s="14"/>
      <c r="G27" s="25" t="s">
        <v>149</v>
      </c>
    </row>
    <row r="28" spans="1:7" ht="12.75" customHeight="1" x14ac:dyDescent="0.2">
      <c r="B2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8" t="s">
        <v>43</v>
      </c>
      <c r="D28" t="s">
        <v>154</v>
      </c>
      <c r="E28" s="14"/>
      <c r="G28" s="25" t="s">
        <v>150</v>
      </c>
    </row>
    <row r="29" spans="1:7" ht="12.75" customHeight="1" x14ac:dyDescent="0.2">
      <c r="B2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29" t="s">
        <v>43</v>
      </c>
      <c r="D29" t="s">
        <v>155</v>
      </c>
      <c r="E29" s="14"/>
      <c r="G29" s="25" t="s">
        <v>151</v>
      </c>
    </row>
    <row r="30" spans="1:7" ht="12.75" customHeight="1" x14ac:dyDescent="0.2">
      <c r="A30" s="1" t="s">
        <v>56</v>
      </c>
      <c r="B3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0" t="s">
        <v>43</v>
      </c>
      <c r="D30" t="s">
        <v>134</v>
      </c>
      <c r="E30" s="14"/>
      <c r="G30" s="25" t="s">
        <v>177</v>
      </c>
    </row>
    <row r="31" spans="1:7" ht="12.75" customHeight="1" x14ac:dyDescent="0.2">
      <c r="A31" s="1" t="s">
        <v>56</v>
      </c>
      <c r="B3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1" t="s">
        <v>43</v>
      </c>
      <c r="D31" t="s">
        <v>112</v>
      </c>
      <c r="E31" s="14"/>
      <c r="G31" s="25" t="s">
        <v>116</v>
      </c>
    </row>
    <row r="32" spans="1:7" ht="12.75" customHeight="1" x14ac:dyDescent="0.2">
      <c r="A32" s="1" t="s">
        <v>56</v>
      </c>
      <c r="B3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2" t="s">
        <v>43</v>
      </c>
      <c r="D32" t="s">
        <v>131</v>
      </c>
      <c r="E32" s="14"/>
      <c r="G32" s="25" t="s">
        <v>132</v>
      </c>
    </row>
    <row r="33" spans="1:7" ht="12.75" customHeight="1" x14ac:dyDescent="0.2">
      <c r="A33" s="1" t="s">
        <v>56</v>
      </c>
      <c r="B3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3" t="s">
        <v>43</v>
      </c>
      <c r="D33" t="s">
        <v>135</v>
      </c>
      <c r="E33" s="14"/>
      <c r="G33" s="25" t="s">
        <v>176</v>
      </c>
    </row>
    <row r="34" spans="1:7" ht="12.75" customHeight="1" x14ac:dyDescent="0.2">
      <c r="B3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34" t="s">
        <v>43</v>
      </c>
      <c r="D34" t="s">
        <v>145</v>
      </c>
      <c r="E34" s="14"/>
      <c r="G34" s="25" t="s">
        <v>178</v>
      </c>
    </row>
    <row r="35" spans="1:7" ht="12.75" customHeight="1" x14ac:dyDescent="0.2">
      <c r="B3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Line</v>
      </c>
      <c r="C35" t="s">
        <v>43</v>
      </c>
      <c r="D35" t="s">
        <v>146</v>
      </c>
      <c r="E35" s="14"/>
      <c r="G35" s="25" t="s">
        <v>170</v>
      </c>
    </row>
    <row r="36" spans="1:7" ht="12.75" customHeight="1" x14ac:dyDescent="0.2">
      <c r="B3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Line</v>
      </c>
      <c r="C36" t="s">
        <v>43</v>
      </c>
      <c r="D36" t="s">
        <v>147</v>
      </c>
      <c r="E36" s="14"/>
      <c r="G36" s="25" t="s">
        <v>171</v>
      </c>
    </row>
    <row r="37" spans="1:7" ht="12.75" customHeight="1" x14ac:dyDescent="0.2">
      <c r="A37" s="1" t="s">
        <v>56</v>
      </c>
      <c r="B3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7" t="s">
        <v>43</v>
      </c>
      <c r="D37" t="s">
        <v>121</v>
      </c>
      <c r="E37" s="14"/>
      <c r="G37" s="25" t="s">
        <v>122</v>
      </c>
    </row>
    <row r="38" spans="1:7" ht="12.75" customHeight="1" x14ac:dyDescent="0.2">
      <c r="A38" s="1" t="s">
        <v>56</v>
      </c>
      <c r="B3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8" t="s">
        <v>43</v>
      </c>
      <c r="D38" t="s">
        <v>119</v>
      </c>
      <c r="E38" s="14"/>
      <c r="G38" s="25" t="s">
        <v>125</v>
      </c>
    </row>
    <row r="39" spans="1:7" ht="12.75" customHeight="1" x14ac:dyDescent="0.2">
      <c r="A39" s="1" t="s">
        <v>56</v>
      </c>
      <c r="B39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39" t="s">
        <v>43</v>
      </c>
      <c r="D39" t="s">
        <v>120</v>
      </c>
      <c r="E39" s="14"/>
      <c r="G39" s="25" t="s">
        <v>124</v>
      </c>
    </row>
    <row r="40" spans="1:7" ht="12.75" customHeight="1" x14ac:dyDescent="0.2">
      <c r="A40" s="1" t="s">
        <v>56</v>
      </c>
      <c r="B40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0" t="s">
        <v>43</v>
      </c>
      <c r="D40" t="s">
        <v>133</v>
      </c>
      <c r="E40" s="14"/>
      <c r="G40" s="25" t="s">
        <v>123</v>
      </c>
    </row>
    <row r="41" spans="1:7" ht="12.75" customHeight="1" x14ac:dyDescent="0.2">
      <c r="A41" s="1" t="s">
        <v>56</v>
      </c>
      <c r="B41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1" t="s">
        <v>5</v>
      </c>
      <c r="D41" t="s">
        <v>111</v>
      </c>
      <c r="E41" s="14"/>
      <c r="G41" s="25" t="s">
        <v>175</v>
      </c>
    </row>
    <row r="42" spans="1:7" ht="12.75" customHeight="1" x14ac:dyDescent="0.2">
      <c r="A42" s="1" t="s">
        <v>56</v>
      </c>
      <c r="B42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2" t="s">
        <v>5</v>
      </c>
      <c r="D42" t="s">
        <v>112</v>
      </c>
      <c r="E42" s="14"/>
      <c r="G42" s="25" t="s">
        <v>114</v>
      </c>
    </row>
    <row r="43" spans="1:7" ht="12.75" customHeight="1" x14ac:dyDescent="0.2">
      <c r="A43" s="1" t="s">
        <v>56</v>
      </c>
      <c r="B43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3" t="s">
        <v>5</v>
      </c>
      <c r="D43" t="s">
        <v>113</v>
      </c>
      <c r="E43" s="14"/>
      <c r="G43" s="25" t="s">
        <v>115</v>
      </c>
    </row>
    <row r="44" spans="1:7" ht="12.75" customHeight="1" x14ac:dyDescent="0.2">
      <c r="A44" s="1" t="s">
        <v>56</v>
      </c>
      <c r="B44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4" t="s">
        <v>5</v>
      </c>
      <c r="D44" t="s">
        <v>107</v>
      </c>
      <c r="E44" s="14"/>
      <c r="G44" s="25" t="s">
        <v>189</v>
      </c>
    </row>
    <row r="45" spans="1:7" ht="12.75" customHeight="1" x14ac:dyDescent="0.2">
      <c r="A45" s="1" t="s">
        <v>56</v>
      </c>
      <c r="B45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5" t="s">
        <v>5</v>
      </c>
      <c r="D45" t="s">
        <v>108</v>
      </c>
      <c r="E45" s="14"/>
      <c r="G45" s="25" t="s">
        <v>172</v>
      </c>
    </row>
    <row r="46" spans="1:7" ht="12.75" customHeight="1" x14ac:dyDescent="0.2">
      <c r="A46" s="1" t="s">
        <v>56</v>
      </c>
      <c r="B46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6" t="s">
        <v>5</v>
      </c>
      <c r="D46" t="s">
        <v>109</v>
      </c>
      <c r="E46" s="14"/>
      <c r="G46" s="25" t="s">
        <v>173</v>
      </c>
    </row>
    <row r="47" spans="1:7" ht="12.75" customHeight="1" x14ac:dyDescent="0.2">
      <c r="A47" s="1" t="s">
        <v>56</v>
      </c>
      <c r="B47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Polygon</v>
      </c>
      <c r="C47" t="s">
        <v>5</v>
      </c>
      <c r="D47" t="s">
        <v>110</v>
      </c>
      <c r="E47" s="14"/>
      <c r="G47" s="25" t="s">
        <v>174</v>
      </c>
    </row>
    <row r="48" spans="1:7" ht="12.75" customHeight="1" x14ac:dyDescent="0.2">
      <c r="A48" s="1" t="s">
        <v>56</v>
      </c>
      <c r="B48" s="1" t="str">
        <f>IF(NOT(ISERR(FIND("x1 = ", MarkersTable[[#This Row],[Data]]))), "Line", IF(NOT(ISERR(FIND("point[0].x = ", MarkersTable[[#This Row],[Data]]))), "Polygon", IF(NOT(ISERR(FIND("x = ", MarkersTable[[#This Row],[Data]]))), "Marker (circle)", "Error")))</f>
        <v>Marker (circle)</v>
      </c>
      <c r="C48" t="s">
        <v>9</v>
      </c>
      <c r="D48" t="s">
        <v>112</v>
      </c>
      <c r="E48" s="14"/>
      <c r="G48" s="25" t="s">
        <v>118</v>
      </c>
    </row>
  </sheetData>
  <phoneticPr fontId="7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5C50-B6E3-4B86-8ACE-399A433CF627}">
  <sheetPr codeName="Sheet2"/>
  <dimension ref="A1:B10"/>
  <sheetViews>
    <sheetView zoomScale="265" zoomScaleNormal="265" workbookViewId="0">
      <selection activeCell="B11" sqref="B11"/>
    </sheetView>
  </sheetViews>
  <sheetFormatPr defaultRowHeight="12.75" x14ac:dyDescent="0.2"/>
  <cols>
    <col min="1" max="1" width="8.7109375" bestFit="1" customWidth="1"/>
    <col min="2" max="2" width="12" bestFit="1" customWidth="1"/>
  </cols>
  <sheetData>
    <row r="1" spans="1:2" x14ac:dyDescent="0.2">
      <c r="A1" t="s">
        <v>101</v>
      </c>
      <c r="B1" t="s">
        <v>55</v>
      </c>
    </row>
    <row r="2" spans="1:2" x14ac:dyDescent="0.2">
      <c r="A2" t="s">
        <v>100</v>
      </c>
      <c r="B2" t="s">
        <v>16</v>
      </c>
    </row>
    <row r="3" spans="1:2" x14ac:dyDescent="0.2">
      <c r="A3" t="s">
        <v>102</v>
      </c>
      <c r="B3" t="s">
        <v>14</v>
      </c>
    </row>
    <row r="4" spans="1:2" x14ac:dyDescent="0.2">
      <c r="A4" t="s">
        <v>99</v>
      </c>
      <c r="B4" t="s">
        <v>13</v>
      </c>
    </row>
    <row r="5" spans="1:2" x14ac:dyDescent="0.2">
      <c r="B5" t="s">
        <v>15</v>
      </c>
    </row>
    <row r="6" spans="1:2" x14ac:dyDescent="0.2">
      <c r="B6" t="s">
        <v>12</v>
      </c>
    </row>
    <row r="7" spans="1:2" x14ac:dyDescent="0.2">
      <c r="B7" t="s">
        <v>11</v>
      </c>
    </row>
    <row r="8" spans="1:2" x14ac:dyDescent="0.2">
      <c r="B8" t="s">
        <v>17</v>
      </c>
    </row>
    <row r="9" spans="1:2" x14ac:dyDescent="0.2">
      <c r="B9" t="s">
        <v>27</v>
      </c>
    </row>
    <row r="10" spans="1:2" x14ac:dyDescent="0.2">
      <c r="B10" t="s">
        <v>104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Custom Agents</vt:lpstr>
      <vt:lpstr>Custom Markers</vt:lpstr>
      <vt:lpstr>_validations</vt:lpstr>
    </vt:vector>
  </TitlesOfParts>
  <Company>MBDA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Palo.UK, Alexandre (FR)</dc:creator>
  <cp:lastModifiedBy>Alexandre Palo</cp:lastModifiedBy>
  <dcterms:created xsi:type="dcterms:W3CDTF">2023-11-30T16:20:30Z</dcterms:created>
  <dcterms:modified xsi:type="dcterms:W3CDTF">2023-12-05T19:22:01Z</dcterms:modified>
</cp:coreProperties>
</file>